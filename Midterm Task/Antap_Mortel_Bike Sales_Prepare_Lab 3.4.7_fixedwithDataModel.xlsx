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2B28528-7E70-4B71-9097-5A772F8090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up Dirty Data" sheetId="1" r:id="rId1"/>
    <sheet name="Fact_Revenue" sheetId="5" r:id="rId2"/>
    <sheet name="Date_Dim" sheetId="6" r:id="rId3"/>
    <sheet name="Customer_Dim" sheetId="7" r:id="rId4"/>
    <sheet name="Product_Dim" sheetId="8" r:id="rId5"/>
    <sheet name="Order_Dim" sheetId="9" r:id="rId6"/>
  </sheets>
  <definedNames>
    <definedName name="_xlcn.WorksheetConnection_Antap_Mortel_BikeSales_Prepare_Lab3.4.7_fixed.xlsxCustomer_Dim" hidden="1">Customer_Dim[]</definedName>
    <definedName name="_xlcn.WorksheetConnection_Antap_Mortel_BikeSales_Prepare_Lab3.4.7_fixed.xlsxFact_Sales" hidden="1">Fact_Revenue[]</definedName>
    <definedName name="_xlcn.WorksheetConnection_Antap_Mortel_BikeSales_Prepare_Lab3.4.7_fixed.xlsxOrder_Dim" hidden="1">Order_Dim[]</definedName>
    <definedName name="_xlcn.WorksheetConnection_Antap_Mortel_BikeSales_Prepare_Lab3.4.7_fixed.xlsxProduct_Dim" hidden="1">Product_Dim[]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Product_Dim" name="Product_Dim" connection="WorksheetConnection_Antap_Mortel_Bike Sales_Prepare_Lab 3.4.7_fixed.xlsx!Product_Dim"/>
          <x15:modelTable id="Order_Dim" name="Order_Dim" connection="WorksheetConnection_Antap_Mortel_Bike Sales_Prepare_Lab 3.4.7_fixed.xlsx!Order_Dim"/>
          <x15:modelTable id="Fact_Sales" name="Fact_Sales" connection="WorksheetConnection_Antap_Mortel_Bike Sales_Prepare_Lab 3.4.7_fixed.xlsx!Fact_Sales"/>
          <x15:modelTable id="Customer_Dim" name="Customer_Dim" connection="WorksheetConnection_Antap_Mortel_Bike Sales_Prepare_Lab 3.4.7_fixed.xlsx!Customer_Dim"/>
        </x15:modelTables>
        <x15:modelRelationships>
          <x15:modelRelationship fromTable="Fact_Sales" fromColumn="Customer_ID" toTable="Customer_Dim" toColumn="Customer_ID"/>
          <x15:modelRelationship fromTable="Fact_Sales" fromColumn="Product_ID" toTable="Product_Dim" toColumn="Product_ID"/>
          <x15:modelRelationship fromTable="Fact_Sales" fromColumn="Sales_Order #" toTable="Order_Dim" toColumn="Sales_Order #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" l="1"/>
  <c r="D3" i="5"/>
  <c r="H3" i="5"/>
  <c r="N3" i="5"/>
  <c r="X3" i="5"/>
  <c r="Y3" i="5"/>
  <c r="A5" i="5"/>
  <c r="D5" i="5"/>
  <c r="H5" i="5"/>
  <c r="N5" i="5"/>
  <c r="X5" i="5"/>
  <c r="Y5" i="5"/>
  <c r="A7" i="5"/>
  <c r="D7" i="5"/>
  <c r="H7" i="5"/>
  <c r="N7" i="5"/>
  <c r="X7" i="5"/>
  <c r="Y7" i="5"/>
  <c r="A8" i="5"/>
  <c r="D8" i="5"/>
  <c r="H8" i="5"/>
  <c r="N8" i="5"/>
  <c r="X8" i="5"/>
  <c r="Y8" i="5"/>
  <c r="A11" i="5"/>
  <c r="D11" i="5"/>
  <c r="H11" i="5"/>
  <c r="N11" i="5"/>
  <c r="X11" i="5"/>
  <c r="Y11" i="5"/>
  <c r="A12" i="5"/>
  <c r="D12" i="5"/>
  <c r="H12" i="5"/>
  <c r="N12" i="5"/>
  <c r="X12" i="5"/>
  <c r="Y12" i="5"/>
  <c r="A13" i="5"/>
  <c r="D13" i="5"/>
  <c r="H13" i="5"/>
  <c r="N13" i="5"/>
  <c r="X13" i="5"/>
  <c r="Y13" i="5"/>
  <c r="A15" i="5"/>
  <c r="D15" i="5"/>
  <c r="H15" i="5"/>
  <c r="N15" i="5"/>
  <c r="X15" i="5"/>
  <c r="Y15" i="5"/>
  <c r="A16" i="5"/>
  <c r="D16" i="5"/>
  <c r="H16" i="5"/>
  <c r="N16" i="5"/>
  <c r="X16" i="5"/>
  <c r="Y16" i="5"/>
  <c r="A17" i="5"/>
  <c r="D17" i="5"/>
  <c r="H17" i="5"/>
  <c r="N17" i="5"/>
  <c r="X17" i="5"/>
  <c r="Y17" i="5"/>
  <c r="A19" i="5"/>
  <c r="D19" i="5"/>
  <c r="H19" i="5"/>
  <c r="N19" i="5"/>
  <c r="X19" i="5"/>
  <c r="Y19" i="5"/>
  <c r="A21" i="5"/>
  <c r="D21" i="5"/>
  <c r="H21" i="5"/>
  <c r="N21" i="5"/>
  <c r="X21" i="5"/>
  <c r="Y21" i="5"/>
  <c r="A22" i="5"/>
  <c r="D22" i="5"/>
  <c r="H22" i="5"/>
  <c r="N22" i="5"/>
  <c r="X22" i="5"/>
  <c r="Y22" i="5"/>
  <c r="A23" i="5"/>
  <c r="D23" i="5"/>
  <c r="H23" i="5"/>
  <c r="N23" i="5"/>
  <c r="X23" i="5"/>
  <c r="Y23" i="5"/>
  <c r="A25" i="5"/>
  <c r="D25" i="5"/>
  <c r="H25" i="5"/>
  <c r="N25" i="5"/>
  <c r="X25" i="5"/>
  <c r="Y25" i="5"/>
  <c r="A27" i="5"/>
  <c r="D27" i="5"/>
  <c r="H27" i="5"/>
  <c r="N27" i="5"/>
  <c r="X27" i="5"/>
  <c r="Y27" i="5"/>
  <c r="A28" i="5"/>
  <c r="D28" i="5"/>
  <c r="H28" i="5"/>
  <c r="N28" i="5"/>
  <c r="X28" i="5"/>
  <c r="Y28" i="5"/>
  <c r="A29" i="5"/>
  <c r="D29" i="5"/>
  <c r="H29" i="5"/>
  <c r="N29" i="5"/>
  <c r="X29" i="5"/>
  <c r="Y29" i="5"/>
  <c r="A30" i="5"/>
  <c r="D30" i="5"/>
  <c r="H30" i="5"/>
  <c r="N30" i="5"/>
  <c r="X30" i="5"/>
  <c r="Y30" i="5"/>
  <c r="A31" i="5"/>
  <c r="D31" i="5"/>
  <c r="H31" i="5"/>
  <c r="N31" i="5"/>
  <c r="X31" i="5"/>
  <c r="Y31" i="5"/>
  <c r="A33" i="5"/>
  <c r="D33" i="5"/>
  <c r="H33" i="5"/>
  <c r="N33" i="5"/>
  <c r="X33" i="5"/>
  <c r="Y33" i="5"/>
  <c r="A34" i="5"/>
  <c r="D34" i="5"/>
  <c r="H34" i="5"/>
  <c r="N34" i="5"/>
  <c r="X34" i="5"/>
  <c r="Y34" i="5"/>
  <c r="A35" i="5"/>
  <c r="D35" i="5"/>
  <c r="H35" i="5"/>
  <c r="N35" i="5"/>
  <c r="X35" i="5"/>
  <c r="Y35" i="5"/>
  <c r="A36" i="5"/>
  <c r="D36" i="5"/>
  <c r="H36" i="5"/>
  <c r="N36" i="5"/>
  <c r="X36" i="5"/>
  <c r="Y36" i="5"/>
  <c r="A38" i="5"/>
  <c r="D38" i="5"/>
  <c r="H38" i="5"/>
  <c r="N38" i="5"/>
  <c r="X38" i="5"/>
  <c r="Y38" i="5"/>
  <c r="A39" i="5"/>
  <c r="D39" i="5"/>
  <c r="H39" i="5"/>
  <c r="N39" i="5"/>
  <c r="X39" i="5"/>
  <c r="Y39" i="5"/>
  <c r="A40" i="5"/>
  <c r="D40" i="5"/>
  <c r="H40" i="5"/>
  <c r="N40" i="5"/>
  <c r="X40" i="5"/>
  <c r="Y40" i="5"/>
  <c r="A41" i="5"/>
  <c r="D41" i="5"/>
  <c r="H41" i="5"/>
  <c r="N41" i="5"/>
  <c r="X41" i="5"/>
  <c r="Y41" i="5"/>
  <c r="A43" i="5"/>
  <c r="D43" i="5"/>
  <c r="H43" i="5"/>
  <c r="N43" i="5"/>
  <c r="X43" i="5"/>
  <c r="Y43" i="5"/>
  <c r="A44" i="5"/>
  <c r="D44" i="5"/>
  <c r="H44" i="5"/>
  <c r="N44" i="5"/>
  <c r="X44" i="5"/>
  <c r="Y44" i="5"/>
  <c r="A45" i="5"/>
  <c r="D45" i="5"/>
  <c r="H45" i="5"/>
  <c r="N45" i="5"/>
  <c r="X45" i="5"/>
  <c r="Y45" i="5"/>
  <c r="A47" i="5"/>
  <c r="D47" i="5"/>
  <c r="H47" i="5"/>
  <c r="N47" i="5"/>
  <c r="X47" i="5"/>
  <c r="Y47" i="5"/>
  <c r="A48" i="5"/>
  <c r="D48" i="5"/>
  <c r="H48" i="5"/>
  <c r="N48" i="5"/>
  <c r="X48" i="5"/>
  <c r="Y48" i="5"/>
  <c r="A51" i="5"/>
  <c r="D51" i="5"/>
  <c r="H51" i="5"/>
  <c r="N51" i="5"/>
  <c r="X51" i="5"/>
  <c r="Y51" i="5"/>
  <c r="A52" i="5"/>
  <c r="D52" i="5"/>
  <c r="H52" i="5"/>
  <c r="N52" i="5"/>
  <c r="X52" i="5"/>
  <c r="Y52" i="5"/>
  <c r="A54" i="5"/>
  <c r="D54" i="5"/>
  <c r="H54" i="5"/>
  <c r="N54" i="5"/>
  <c r="X54" i="5"/>
  <c r="Y54" i="5"/>
  <c r="A55" i="5"/>
  <c r="D55" i="5"/>
  <c r="H55" i="5"/>
  <c r="N55" i="5"/>
  <c r="X55" i="5"/>
  <c r="Y55" i="5"/>
  <c r="A57" i="5"/>
  <c r="D57" i="5"/>
  <c r="H57" i="5"/>
  <c r="N57" i="5"/>
  <c r="X57" i="5"/>
  <c r="Y57" i="5"/>
  <c r="A58" i="5"/>
  <c r="D58" i="5"/>
  <c r="H58" i="5"/>
  <c r="N58" i="5"/>
  <c r="X58" i="5"/>
  <c r="Y58" i="5"/>
  <c r="A59" i="5"/>
  <c r="D59" i="5"/>
  <c r="H59" i="5"/>
  <c r="N59" i="5"/>
  <c r="X59" i="5"/>
  <c r="Y59" i="5"/>
  <c r="A60" i="5"/>
  <c r="D60" i="5"/>
  <c r="H60" i="5"/>
  <c r="N60" i="5"/>
  <c r="X60" i="5"/>
  <c r="Y60" i="5"/>
  <c r="A61" i="5"/>
  <c r="D61" i="5"/>
  <c r="H61" i="5"/>
  <c r="N61" i="5"/>
  <c r="X61" i="5"/>
  <c r="Y61" i="5"/>
  <c r="A62" i="5"/>
  <c r="D62" i="5"/>
  <c r="H62" i="5"/>
  <c r="N62" i="5"/>
  <c r="X62" i="5"/>
  <c r="Y62" i="5"/>
  <c r="A64" i="5"/>
  <c r="D64" i="5"/>
  <c r="H64" i="5"/>
  <c r="N64" i="5"/>
  <c r="X64" i="5"/>
  <c r="Y64" i="5"/>
  <c r="A65" i="5"/>
  <c r="D65" i="5"/>
  <c r="H65" i="5"/>
  <c r="N65" i="5"/>
  <c r="X65" i="5"/>
  <c r="Y65" i="5"/>
  <c r="A66" i="5"/>
  <c r="D66" i="5"/>
  <c r="H66" i="5"/>
  <c r="N66" i="5"/>
  <c r="X66" i="5"/>
  <c r="Y66" i="5"/>
  <c r="A67" i="5"/>
  <c r="D67" i="5"/>
  <c r="H67" i="5"/>
  <c r="N67" i="5"/>
  <c r="X67" i="5"/>
  <c r="Y67" i="5"/>
  <c r="A68" i="5"/>
  <c r="D68" i="5"/>
  <c r="H68" i="5"/>
  <c r="N68" i="5"/>
  <c r="X68" i="5"/>
  <c r="Y68" i="5"/>
  <c r="A69" i="5"/>
  <c r="D69" i="5"/>
  <c r="H69" i="5"/>
  <c r="N69" i="5"/>
  <c r="X69" i="5"/>
  <c r="Y69" i="5"/>
  <c r="A70" i="5"/>
  <c r="D70" i="5"/>
  <c r="H70" i="5"/>
  <c r="N70" i="5"/>
  <c r="X70" i="5"/>
  <c r="Y70" i="5"/>
  <c r="A71" i="5"/>
  <c r="D71" i="5"/>
  <c r="H71" i="5"/>
  <c r="N71" i="5"/>
  <c r="X71" i="5"/>
  <c r="Y71" i="5"/>
  <c r="A72" i="5"/>
  <c r="D72" i="5"/>
  <c r="H72" i="5"/>
  <c r="N72" i="5"/>
  <c r="X72" i="5"/>
  <c r="Y72" i="5"/>
  <c r="A74" i="5"/>
  <c r="D74" i="5"/>
  <c r="H74" i="5"/>
  <c r="N74" i="5"/>
  <c r="X74" i="5"/>
  <c r="Y74" i="5"/>
  <c r="A75" i="5"/>
  <c r="D75" i="5"/>
  <c r="H75" i="5"/>
  <c r="N75" i="5"/>
  <c r="X75" i="5"/>
  <c r="Y75" i="5"/>
  <c r="A76" i="5"/>
  <c r="D76" i="5"/>
  <c r="H76" i="5"/>
  <c r="N76" i="5"/>
  <c r="X76" i="5"/>
  <c r="Y76" i="5"/>
  <c r="A77" i="5"/>
  <c r="D77" i="5"/>
  <c r="H77" i="5"/>
  <c r="N77" i="5"/>
  <c r="X77" i="5"/>
  <c r="Y77" i="5"/>
  <c r="A79" i="5"/>
  <c r="D79" i="5"/>
  <c r="H79" i="5"/>
  <c r="N79" i="5"/>
  <c r="X79" i="5"/>
  <c r="Y79" i="5"/>
  <c r="A81" i="5"/>
  <c r="D81" i="5"/>
  <c r="H81" i="5"/>
  <c r="N81" i="5"/>
  <c r="X81" i="5"/>
  <c r="Y81" i="5"/>
  <c r="A82" i="5"/>
  <c r="D82" i="5"/>
  <c r="H82" i="5"/>
  <c r="N82" i="5"/>
  <c r="X82" i="5"/>
  <c r="Y82" i="5"/>
  <c r="A83" i="5"/>
  <c r="D83" i="5"/>
  <c r="H83" i="5"/>
  <c r="N83" i="5"/>
  <c r="X83" i="5"/>
  <c r="Y83" i="5"/>
  <c r="A84" i="5"/>
  <c r="D84" i="5"/>
  <c r="H84" i="5"/>
  <c r="N84" i="5"/>
  <c r="X84" i="5"/>
  <c r="Y84" i="5"/>
  <c r="A85" i="5"/>
  <c r="D85" i="5"/>
  <c r="H85" i="5"/>
  <c r="N85" i="5"/>
  <c r="X85" i="5"/>
  <c r="Y85" i="5"/>
  <c r="A87" i="5"/>
  <c r="D87" i="5"/>
  <c r="H87" i="5"/>
  <c r="N87" i="5"/>
  <c r="X87" i="5"/>
  <c r="Y87" i="5"/>
  <c r="A88" i="5"/>
  <c r="D88" i="5"/>
  <c r="H88" i="5"/>
  <c r="N88" i="5"/>
  <c r="X88" i="5"/>
  <c r="Y88" i="5"/>
  <c r="B3" i="6"/>
  <c r="B5" i="6"/>
  <c r="B7" i="6"/>
  <c r="B8" i="6"/>
  <c r="B11" i="6"/>
  <c r="B12" i="6"/>
  <c r="B13" i="6"/>
  <c r="B15" i="6"/>
  <c r="B16" i="6"/>
  <c r="B17" i="6"/>
  <c r="B21" i="6"/>
  <c r="B22" i="6"/>
  <c r="B23" i="6"/>
  <c r="B25" i="6"/>
  <c r="B27" i="6"/>
  <c r="B28" i="6"/>
  <c r="B29" i="6"/>
  <c r="B30" i="6"/>
  <c r="B31" i="6"/>
  <c r="B33" i="6"/>
  <c r="B34" i="6"/>
  <c r="B35" i="6"/>
  <c r="B36" i="6"/>
  <c r="B38" i="6"/>
  <c r="B39" i="6"/>
  <c r="B40" i="6"/>
  <c r="B41" i="6"/>
  <c r="B43" i="6"/>
  <c r="B44" i="6"/>
  <c r="B45" i="6"/>
  <c r="B47" i="6"/>
  <c r="B48" i="6"/>
  <c r="B51" i="6"/>
  <c r="B52" i="6"/>
  <c r="B54" i="6"/>
  <c r="B55" i="6"/>
  <c r="D53" i="5" s="1"/>
  <c r="B57" i="6"/>
  <c r="B58" i="6"/>
  <c r="B59" i="6"/>
  <c r="B60" i="6"/>
  <c r="B61" i="6"/>
  <c r="B62" i="6"/>
  <c r="B64" i="6"/>
  <c r="B65" i="6"/>
  <c r="B66" i="6"/>
  <c r="B67" i="6"/>
  <c r="B68" i="6"/>
  <c r="B69" i="6"/>
  <c r="B70" i="6"/>
  <c r="B71" i="6"/>
  <c r="B72" i="6"/>
  <c r="B74" i="6"/>
  <c r="B75" i="6"/>
  <c r="B76" i="6"/>
  <c r="B77" i="6"/>
  <c r="B79" i="6"/>
  <c r="D78" i="5" s="1"/>
  <c r="B81" i="6"/>
  <c r="B82" i="6"/>
  <c r="B83" i="6"/>
  <c r="B84" i="6"/>
  <c r="B85" i="6"/>
  <c r="B87" i="6"/>
  <c r="B88" i="6"/>
  <c r="D32" i="5"/>
  <c r="D4" i="5"/>
  <c r="D10" i="5"/>
  <c r="D14" i="5"/>
  <c r="D20" i="5"/>
  <c r="D24" i="5"/>
  <c r="D26" i="5"/>
  <c r="D42" i="5"/>
  <c r="D50" i="5"/>
  <c r="D56" i="5"/>
  <c r="D63" i="5"/>
  <c r="D80" i="5"/>
  <c r="B2" i="6"/>
  <c r="D2" i="5" s="1"/>
  <c r="B4" i="6"/>
  <c r="B6" i="6"/>
  <c r="B9" i="6"/>
  <c r="D9" i="5" s="1"/>
  <c r="B10" i="6"/>
  <c r="B14" i="6"/>
  <c r="B18" i="6"/>
  <c r="B19" i="6"/>
  <c r="D18" i="5" s="1"/>
  <c r="B20" i="6"/>
  <c r="B24" i="6"/>
  <c r="B26" i="6"/>
  <c r="B32" i="6"/>
  <c r="B37" i="6"/>
  <c r="B42" i="6"/>
  <c r="B46" i="6"/>
  <c r="B49" i="6"/>
  <c r="D49" i="5" s="1"/>
  <c r="B50" i="6"/>
  <c r="B53" i="6"/>
  <c r="B56" i="6"/>
  <c r="B63" i="6"/>
  <c r="B73" i="6"/>
  <c r="B78" i="6"/>
  <c r="B80" i="6"/>
  <c r="B86" i="6"/>
  <c r="B89" i="6"/>
  <c r="D89" i="5" s="1"/>
  <c r="D86" i="5" l="1"/>
  <c r="D46" i="5"/>
  <c r="D73" i="5"/>
  <c r="D37" i="5"/>
  <c r="D6" i="5"/>
  <c r="A4" i="5"/>
  <c r="A6" i="5"/>
  <c r="A9" i="5"/>
  <c r="A10" i="5"/>
  <c r="A14" i="5"/>
  <c r="A18" i="5"/>
  <c r="A20" i="5"/>
  <c r="A24" i="5"/>
  <c r="A26" i="5"/>
  <c r="A32" i="5"/>
  <c r="A37" i="5"/>
  <c r="A42" i="5"/>
  <c r="A46" i="5"/>
  <c r="A49" i="5"/>
  <c r="A50" i="5"/>
  <c r="A53" i="5"/>
  <c r="A56" i="5"/>
  <c r="A63" i="5"/>
  <c r="A73" i="5"/>
  <c r="A78" i="5"/>
  <c r="A80" i="5"/>
  <c r="A86" i="5"/>
  <c r="A89" i="5"/>
  <c r="A2" i="5"/>
  <c r="H4" i="5"/>
  <c r="H6" i="5"/>
  <c r="H9" i="5"/>
  <c r="H10" i="5"/>
  <c r="H14" i="5"/>
  <c r="H18" i="5"/>
  <c r="H20" i="5"/>
  <c r="H24" i="5"/>
  <c r="H26" i="5"/>
  <c r="H32" i="5"/>
  <c r="H37" i="5"/>
  <c r="H42" i="5"/>
  <c r="H46" i="5"/>
  <c r="H49" i="5"/>
  <c r="H50" i="5"/>
  <c r="H53" i="5"/>
  <c r="H56" i="5"/>
  <c r="H63" i="5"/>
  <c r="H73" i="5"/>
  <c r="H78" i="5"/>
  <c r="H80" i="5"/>
  <c r="H86" i="5"/>
  <c r="H89" i="5"/>
  <c r="H2" i="5"/>
  <c r="N4" i="5"/>
  <c r="N6" i="5"/>
  <c r="N9" i="5"/>
  <c r="N10" i="5"/>
  <c r="N14" i="5"/>
  <c r="N18" i="5"/>
  <c r="N20" i="5"/>
  <c r="N24" i="5"/>
  <c r="N26" i="5"/>
  <c r="N32" i="5"/>
  <c r="N37" i="5"/>
  <c r="N42" i="5"/>
  <c r="N46" i="5"/>
  <c r="N49" i="5"/>
  <c r="N50" i="5"/>
  <c r="N53" i="5"/>
  <c r="N56" i="5"/>
  <c r="N63" i="5"/>
  <c r="N73" i="5"/>
  <c r="N78" i="5"/>
  <c r="N80" i="5"/>
  <c r="N86" i="5"/>
  <c r="N89" i="5"/>
  <c r="N2" i="5"/>
  <c r="Y89" i="5"/>
  <c r="X89" i="5"/>
  <c r="Y86" i="5"/>
  <c r="X86" i="5"/>
  <c r="Y80" i="5"/>
  <c r="X80" i="5"/>
  <c r="Y78" i="5"/>
  <c r="X78" i="5"/>
  <c r="Y73" i="5"/>
  <c r="X73" i="5"/>
  <c r="Y63" i="5"/>
  <c r="X63" i="5"/>
  <c r="Y56" i="5"/>
  <c r="X56" i="5"/>
  <c r="Y53" i="5"/>
  <c r="X53" i="5"/>
  <c r="Y50" i="5"/>
  <c r="X50" i="5"/>
  <c r="Y49" i="5"/>
  <c r="X49" i="5"/>
  <c r="Y46" i="5"/>
  <c r="X46" i="5"/>
  <c r="Y42" i="5"/>
  <c r="X42" i="5"/>
  <c r="Y37" i="5"/>
  <c r="X37" i="5"/>
  <c r="Y32" i="5"/>
  <c r="X32" i="5"/>
  <c r="Y26" i="5"/>
  <c r="X26" i="5"/>
  <c r="Y24" i="5"/>
  <c r="X24" i="5"/>
  <c r="Y20" i="5"/>
  <c r="X20" i="5"/>
  <c r="Y18" i="5"/>
  <c r="X18" i="5"/>
  <c r="Y14" i="5"/>
  <c r="X14" i="5"/>
  <c r="Y10" i="5"/>
  <c r="X10" i="5"/>
  <c r="Y9" i="5"/>
  <c r="X9" i="5"/>
  <c r="Y6" i="5"/>
  <c r="X6" i="5"/>
  <c r="Y4" i="5"/>
  <c r="X4" i="5"/>
  <c r="Y2" i="5"/>
  <c r="X2" i="5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BA8B1-E9C7-4E82-9F83-CA28E1388D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98FFD8A-476F-4438-9D67-C49B26F706A6}" name="WorksheetConnection_Antap_Mortel_Bike Sales_Prepare_Lab 3.4.7_fixed.xlsx!Customer_Dim" type="102" refreshedVersion="8" minRefreshableVersion="5">
    <extLst>
      <ext xmlns:x15="http://schemas.microsoft.com/office/spreadsheetml/2010/11/main" uri="{DE250136-89BD-433C-8126-D09CA5730AF9}">
        <x15:connection id="Customer_Dim">
          <x15:rangePr sourceName="_xlcn.WorksheetConnection_Antap_Mortel_BikeSales_Prepare_Lab3.4.7_fixed.xlsxCustomer_Dim"/>
        </x15:connection>
      </ext>
    </extLst>
  </connection>
  <connection id="3" xr16:uid="{39265196-C7A1-4EE9-A2D5-39FE355B2E4D}" name="WorksheetConnection_Antap_Mortel_Bike Sales_Prepare_Lab 3.4.7_fixed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Antap_Mortel_BikeSales_Prepare_Lab3.4.7_fixed.xlsxFact_Sales"/>
        </x15:connection>
      </ext>
    </extLst>
  </connection>
  <connection id="4" xr16:uid="{6709C8AC-82A8-43AF-A92E-B51F4D897ACE}" name="WorksheetConnection_Antap_Mortel_Bike Sales_Prepare_Lab 3.4.7_fixed.xlsx!Order_Dim" type="102" refreshedVersion="8" minRefreshableVersion="5">
    <extLst>
      <ext xmlns:x15="http://schemas.microsoft.com/office/spreadsheetml/2010/11/main" uri="{DE250136-89BD-433C-8126-D09CA5730AF9}">
        <x15:connection id="Order_Dim">
          <x15:rangePr sourceName="_xlcn.WorksheetConnection_Antap_Mortel_BikeSales_Prepare_Lab3.4.7_fixed.xlsxOrder_Dim"/>
        </x15:connection>
      </ext>
    </extLst>
  </connection>
  <connection id="5" xr16:uid="{DC494C05-F449-4F11-A5DE-510D4EB87FED}" name="WorksheetConnection_Antap_Mortel_Bike Sales_Prepare_Lab 3.4.7_fixed.xlsx!Product_Dim" type="102" refreshedVersion="8" minRefreshableVersion="5">
    <extLst>
      <ext xmlns:x15="http://schemas.microsoft.com/office/spreadsheetml/2010/11/main" uri="{DE250136-89BD-433C-8126-D09CA5730AF9}">
        <x15:connection id="Product_Dim">
          <x15:rangePr sourceName="_xlcn.WorksheetConnection_Antap_Mortel_BikeSales_Prepare_Lab3.4.7_fixed.xlsxProduct_Dim"/>
        </x15:connection>
      </ext>
    </extLst>
  </connection>
</connections>
</file>

<file path=xl/sharedStrings.xml><?xml version="1.0" encoding="utf-8"?>
<sst xmlns="http://schemas.openxmlformats.org/spreadsheetml/2006/main" count="2886" uniqueCount="441">
  <si>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</si>
  <si>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</si>
  <si>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</si>
  <si>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</si>
  <si>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</si>
  <si>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</si>
  <si>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</si>
  <si>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</si>
  <si>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</si>
  <si>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</si>
  <si>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</si>
  <si>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</si>
  <si>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</si>
  <si>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</si>
  <si>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</si>
  <si>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</si>
  <si>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</si>
  <si>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</si>
  <si>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</si>
  <si>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</si>
  <si>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</si>
  <si>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</si>
  <si>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</si>
  <si>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</si>
  <si>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</si>
  <si>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</si>
  <si>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</si>
  <si>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</si>
  <si>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</si>
  <si>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</si>
  <si>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</si>
  <si>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</si>
  <si>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</si>
  <si>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</si>
  <si>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</si>
  <si>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</si>
  <si>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</si>
  <si>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</si>
  <si>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</si>
  <si>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</si>
  <si>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</si>
  <si>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</si>
  <si>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</si>
  <si>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</si>
  <si>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</si>
  <si>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</si>
  <si>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</si>
  <si>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</si>
  <si>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</si>
  <si>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</si>
  <si>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</si>
  <si>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</si>
  <si>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</si>
  <si>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</si>
  <si>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</si>
  <si>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</si>
  <si>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</si>
  <si>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</si>
  <si>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</si>
  <si>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</si>
  <si>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</si>
  <si>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</si>
  <si>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</si>
  <si>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</si>
  <si>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</si>
  <si>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</si>
  <si>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</si>
  <si>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</si>
  <si>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</si>
  <si>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</si>
  <si>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</si>
  <si>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</si>
  <si>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</si>
  <si>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</si>
  <si>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</si>
  <si>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</si>
  <si>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</si>
  <si>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</si>
  <si>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</si>
  <si>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</si>
  <si>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</si>
  <si>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</si>
  <si>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</si>
  <si>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</si>
  <si>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</si>
  <si>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</si>
  <si>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</si>
  <si>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</si>
  <si>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</si>
  <si>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</si>
  <si>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</si>
  <si>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</si>
  <si>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</si>
  <si>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</si>
  <si>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</si>
  <si>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</si>
  <si>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</si>
  <si>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</si>
  <si>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</si>
  <si>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</si>
  <si>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</si>
  <si>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</si>
  <si>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</si>
  <si>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</si>
  <si>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</si>
  <si>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</si>
  <si>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</si>
  <si>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</si>
  <si>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</si>
  <si>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</si>
  <si>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</si>
  <si>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</si>
  <si>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</si>
  <si>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</si>
  <si>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</si>
  <si>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</si>
  <si>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</si>
  <si>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</si>
  <si>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</si>
  <si>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</si>
  <si>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</si>
  <si>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</si>
  <si>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</si>
  <si>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</si>
  <si>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</si>
  <si>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</si>
  <si>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</si>
  <si>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</si>
  <si>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</si>
  <si>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</si>
  <si>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</si>
  <si>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</si>
  <si>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</si>
  <si>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</si>
  <si>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</si>
  <si>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</si>
  <si>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</si>
  <si>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</si>
  <si>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</si>
  <si>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</si>
  <si>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</si>
  <si>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</si>
  <si>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</si>
  <si>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</si>
  <si>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</si>
  <si>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</si>
  <si>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</si>
  <si>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</si>
  <si>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</si>
  <si>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</si>
  <si>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</si>
  <si>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</si>
  <si>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</si>
  <si>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</si>
  <si>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</si>
  <si>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</si>
  <si>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</si>
  <si>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</si>
  <si>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</si>
  <si>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</si>
  <si>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</si>
  <si>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</si>
  <si>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</si>
  <si>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</si>
  <si>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</si>
  <si>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</si>
  <si>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</si>
  <si>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</si>
  <si>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</si>
  <si>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</si>
  <si>
    <t>Decembers</t>
  </si>
  <si>
    <t>Order_ID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</si>
  <si>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</si>
  <si>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</si>
  <si>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</si>
  <si>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</si>
  <si>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</si>
  <si>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</si>
  <si>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</si>
  <si>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</si>
  <si>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</si>
  <si>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</si>
  <si>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</si>
  <si>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</si>
  <si>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</si>
  <si>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</si>
  <si>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</si>
  <si>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</si>
  <si>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</si>
  <si>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S-118</t>
  </si>
  <si>
    <t>S-119</t>
  </si>
  <si>
    <t>S-120</t>
  </si>
  <si>
    <t>S-121</t>
  </si>
  <si>
    <t>S-122</t>
  </si>
  <si>
    <t>S-123</t>
  </si>
  <si>
    <t>S-124</t>
  </si>
  <si>
    <t>S-125</t>
  </si>
  <si>
    <t>S-126</t>
  </si>
  <si>
    <t>S-127</t>
  </si>
  <si>
    <t>S-128</t>
  </si>
  <si>
    <t>S-129</t>
  </si>
  <si>
    <t>S-130</t>
  </si>
  <si>
    <t>S-131</t>
  </si>
  <si>
    <t>S-132</t>
  </si>
  <si>
    <t>S-133</t>
  </si>
  <si>
    <t>S-134</t>
  </si>
  <si>
    <t>S-135</t>
  </si>
  <si>
    <t>S-136</t>
  </si>
  <si>
    <t>S-137</t>
  </si>
  <si>
    <t>S-138</t>
  </si>
  <si>
    <t>S-139</t>
  </si>
  <si>
    <t>S-140</t>
  </si>
  <si>
    <t>S-141</t>
  </si>
  <si>
    <t>S-142</t>
  </si>
  <si>
    <t>S-143</t>
  </si>
  <si>
    <t>S-144</t>
  </si>
  <si>
    <t>S-145</t>
  </si>
  <si>
    <t>S-146</t>
  </si>
  <si>
    <t>S-147</t>
  </si>
  <si>
    <t>S-148</t>
  </si>
  <si>
    <t>S-149</t>
  </si>
  <si>
    <t>S-150</t>
  </si>
  <si>
    <t>S-151</t>
  </si>
  <si>
    <t>S-152</t>
  </si>
  <si>
    <t>S-153</t>
  </si>
  <si>
    <t>S-154</t>
  </si>
  <si>
    <t>S-155</t>
  </si>
  <si>
    <t>S-156</t>
  </si>
  <si>
    <t>S-157</t>
  </si>
  <si>
    <t>S-158</t>
  </si>
  <si>
    <t>S-159</t>
  </si>
  <si>
    <t>S-160</t>
  </si>
  <si>
    <t>S-161</t>
  </si>
  <si>
    <t>S-162</t>
  </si>
  <si>
    <t>S-163</t>
  </si>
  <si>
    <t>S-164</t>
  </si>
  <si>
    <t>S-165</t>
  </si>
  <si>
    <t>S-166</t>
  </si>
  <si>
    <t>S-167</t>
  </si>
  <si>
    <t>S-168</t>
  </si>
  <si>
    <t>S-169</t>
  </si>
  <si>
    <t>S-170</t>
  </si>
  <si>
    <t>S-171</t>
  </si>
  <si>
    <t>S-172</t>
  </si>
  <si>
    <t>S-173</t>
  </si>
  <si>
    <t>S-174</t>
  </si>
  <si>
    <t>S-175</t>
  </si>
  <si>
    <t>S-176</t>
  </si>
  <si>
    <t>S-177</t>
  </si>
  <si>
    <t>S-178</t>
  </si>
  <si>
    <t>S-179</t>
  </si>
  <si>
    <t>S-180</t>
  </si>
  <si>
    <t>S-181</t>
  </si>
  <si>
    <t>S-182</t>
  </si>
  <si>
    <t>S-183</t>
  </si>
  <si>
    <t>S-184</t>
  </si>
  <si>
    <t>S-185</t>
  </si>
  <si>
    <t>S-186</t>
  </si>
  <si>
    <t>S-187</t>
  </si>
  <si>
    <t>S-188</t>
  </si>
  <si>
    <t>Product_ID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</si>
  <si>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</si>
  <si>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</si>
  <si>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</si>
  <si>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</si>
  <si>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</si>
  <si>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</si>
  <si>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</si>
  <si>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</si>
  <si>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</si>
  <si>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</si>
  <si>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</si>
  <si>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</si>
  <si>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</si>
  <si>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</si>
  <si>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</si>
  <si>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</si>
  <si>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</si>
  <si>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</si>
  <si>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</si>
  <si>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</si>
  <si>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</si>
  <si>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</si>
  <si>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</si>
  <si>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</si>
  <si>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</si>
  <si>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</si>
  <si>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</si>
  <si>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</si>
  <si>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</si>
  <si>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</si>
  <si>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</si>
  <si>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</si>
  <si>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</si>
  <si>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</si>
  <si>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</si>
  <si>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</si>
  <si>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</si>
  <si>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</si>
  <si>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</si>
  <si>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</si>
  <si>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</si>
  <si>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</si>
  <si>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</si>
  <si>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</si>
  <si>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</si>
  <si>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</si>
  <si>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</si>
  <si>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</si>
  <si>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</si>
  <si>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</si>
  <si>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</si>
  <si>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</si>
  <si>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</si>
  <si>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</si>
  <si>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</si>
  <si>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</si>
  <si>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</si>
  <si>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</si>
  <si>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</si>
  <si>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</si>
  <si>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</si>
  <si>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</si>
  <si>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</si>
  <si>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</si>
  <si>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</si>
  <si>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</si>
  <si>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</si>
  <si>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</si>
  <si>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</si>
  <si>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</si>
  <si>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</si>
  <si>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</si>
  <si>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</si>
  <si>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</si>
  <si>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</si>
  <si>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</si>
  <si>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</si>
  <si>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</si>
  <si>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</si>
  <si>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</si>
  <si>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</si>
  <si>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</si>
  <si>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</si>
  <si>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</si>
  <si>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</si>
  <si>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</si>
  <si>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</si>
  <si>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</si>
  <si>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Customer_ID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</si>
  <si>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</si>
  <si>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</si>
  <si>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</si>
  <si>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</si>
  <si>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</si>
  <si>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</si>
  <si>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</si>
  <si>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</si>
  <si>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</si>
  <si>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</si>
  <si>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</si>
  <si>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</si>
  <si>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</si>
  <si>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</si>
  <si>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</si>
  <si>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</si>
  <si>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</si>
  <si>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</si>
  <si>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</si>
  <si>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</si>
  <si>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</si>
  <si>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</si>
  <si>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</si>
  <si>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</si>
  <si>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</si>
  <si>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</si>
  <si>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</si>
  <si>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</si>
  <si>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</si>
  <si>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</si>
  <si>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</si>
  <si>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</si>
  <si>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</si>
  <si>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</si>
  <si>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</si>
  <si>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</si>
  <si>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</si>
  <si>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</si>
  <si>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</si>
  <si>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</si>
  <si>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</si>
  <si>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</si>
  <si>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</si>
  <si>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</si>
  <si>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</si>
  <si>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</si>
  <si>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</si>
  <si>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</si>
  <si>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</si>
  <si>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</si>
  <si>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</si>
  <si>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</si>
  <si>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</si>
  <si>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</si>
  <si>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</si>
  <si>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</si>
  <si>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</si>
  <si>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</si>
  <si>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</si>
  <si>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</si>
  <si>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</si>
  <si>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</si>
  <si>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</si>
  <si>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</si>
  <si>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</si>
  <si>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</si>
  <si>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</si>
  <si>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</si>
  <si>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</si>
  <si>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</si>
  <si>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</si>
  <si>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</si>
  <si>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</si>
  <si>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</si>
  <si>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</si>
  <si>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</si>
  <si>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</si>
  <si>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</si>
  <si>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</si>
  <si>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</si>
  <si>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</si>
  <si>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</si>
  <si>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</si>
  <si>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</si>
  <si>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</si>
  <si>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</si>
  <si>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</si>
  <si>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</si>
  <si>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39</t>
  </si>
  <si>
    <t>Date_ID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</si>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</sst>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mm/dd/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7" tint="0.39997558519241921"/>
      </left>
      <right/>
      <top/>
      <bottom/>
      <diagonal/>
    </border>
    <border>
      <left style="thin">
        <color theme="7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7" tint="0.39997558519241921"/>
      </left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4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1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/>
    <xf numFmtId="0" fontId="22" fillId="0" borderId="0" xfId="0" applyFont="1"/>
    <xf numFmtId="165" fontId="16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5" fontId="21" fillId="0" borderId="0" xfId="0" applyNumberFormat="1" applyFont="1"/>
    <xf numFmtId="0" fontId="0" fillId="0" borderId="10" xfId="0" applyBorder="1"/>
    <xf numFmtId="0" fontId="0" fillId="0" borderId="11" xfId="0" applyBorder="1"/>
    <xf numFmtId="0" fontId="13" fillId="35" borderId="13" xfId="0" applyFont="1" applyFill="1" applyBorder="1" applyAlignment="1">
      <alignment horizontal="center" vertical="center" wrapText="1"/>
    </xf>
    <xf numFmtId="0" fontId="0" fillId="36" borderId="13" xfId="0" applyFill="1" applyBorder="1"/>
    <xf numFmtId="0" fontId="0" fillId="0" borderId="13" xfId="0" applyBorder="1"/>
    <xf numFmtId="0" fontId="19" fillId="36" borderId="13" xfId="0" applyFont="1" applyFill="1" applyBorder="1"/>
    <xf numFmtId="0" fontId="13" fillId="35" borderId="0" xfId="0" applyFont="1" applyFill="1" applyAlignment="1">
      <alignment horizontal="center" vertical="center" wrapText="1"/>
    </xf>
    <xf numFmtId="0" fontId="13" fillId="35" borderId="0" xfId="0" applyFont="1" applyFill="1"/>
    <xf numFmtId="0" fontId="0" fillId="33" borderId="13" xfId="0" applyFill="1" applyBorder="1"/>
    <xf numFmtId="0" fontId="21" fillId="36" borderId="13" xfId="0" applyFont="1" applyFill="1" applyBorder="1" applyAlignment="1">
      <alignment horizontal="right"/>
    </xf>
    <xf numFmtId="0" fontId="21" fillId="36" borderId="13" xfId="0" applyFont="1" applyFill="1" applyBorder="1"/>
    <xf numFmtId="165" fontId="0" fillId="36" borderId="13" xfId="0" applyNumberFormat="1" applyFill="1" applyBorder="1"/>
    <xf numFmtId="49" fontId="0" fillId="33" borderId="14" xfId="0" applyNumberFormat="1" applyFill="1" applyBorder="1" applyAlignment="1">
      <alignment horizontal="right"/>
    </xf>
    <xf numFmtId="165" fontId="0" fillId="33" borderId="14" xfId="0" applyNumberFormat="1" applyFill="1" applyBorder="1"/>
    <xf numFmtId="0" fontId="0" fillId="33" borderId="14" xfId="0" applyFill="1" applyBorder="1"/>
    <xf numFmtId="0" fontId="19" fillId="33" borderId="14" xfId="0" applyFont="1" applyFill="1" applyBorder="1"/>
    <xf numFmtId="164" fontId="0" fillId="33" borderId="14" xfId="0" applyNumberFormat="1" applyFill="1" applyBorder="1"/>
    <xf numFmtId="49" fontId="0" fillId="0" borderId="14" xfId="0" applyNumberFormat="1" applyBorder="1" applyAlignment="1">
      <alignment horizontal="right"/>
    </xf>
    <xf numFmtId="165" fontId="0" fillId="0" borderId="14" xfId="0" applyNumberFormat="1" applyBorder="1"/>
    <xf numFmtId="0" fontId="0" fillId="0" borderId="14" xfId="0" applyBorder="1"/>
    <xf numFmtId="0" fontId="19" fillId="0" borderId="14" xfId="0" applyFont="1" applyBorder="1"/>
    <xf numFmtId="164" fontId="0" fillId="0" borderId="14" xfId="0" applyNumberFormat="1" applyBorder="1"/>
    <xf numFmtId="49" fontId="0" fillId="0" borderId="10" xfId="0" applyNumberFormat="1" applyBorder="1" applyAlignment="1">
      <alignment horizontal="right"/>
    </xf>
    <xf numFmtId="165" fontId="0" fillId="0" borderId="10" xfId="0" applyNumberFormat="1" applyBorder="1"/>
    <xf numFmtId="0" fontId="19" fillId="0" borderId="10" xfId="0" applyFont="1" applyBorder="1"/>
    <xf numFmtId="164" fontId="0" fillId="0" borderId="10" xfId="0" applyNumberFormat="1" applyBorder="1"/>
    <xf numFmtId="165" fontId="0" fillId="0" borderId="13" xfId="0" applyNumberFormat="1" applyBorder="1"/>
    <xf numFmtId="165" fontId="0" fillId="0" borderId="11" xfId="0" applyNumberFormat="1" applyBorder="1"/>
    <xf numFmtId="165" fontId="13" fillId="35" borderId="0" xfId="0" applyNumberFormat="1" applyFont="1" applyFill="1" applyAlignment="1">
      <alignment horizontal="center" vertical="center" wrapText="1"/>
    </xf>
    <xf numFmtId="49" fontId="0" fillId="36" borderId="13" xfId="0" applyNumberFormat="1" applyFill="1" applyBorder="1" applyAlignment="1">
      <alignment horizontal="right"/>
    </xf>
    <xf numFmtId="49" fontId="0" fillId="0" borderId="13" xfId="0" applyNumberFormat="1" applyBorder="1" applyAlignment="1">
      <alignment horizontal="right"/>
    </xf>
    <xf numFmtId="49" fontId="0" fillId="0" borderId="11" xfId="0" applyNumberFormat="1" applyBorder="1" applyAlignment="1">
      <alignment horizontal="right"/>
    </xf>
    <xf numFmtId="0" fontId="13" fillId="34" borderId="17" xfId="0" applyFont="1" applyFill="1" applyBorder="1" applyAlignment="1">
      <alignment horizontal="center" vertical="center" wrapText="1"/>
    </xf>
    <xf numFmtId="0" fontId="0" fillId="33" borderId="17" xfId="0" applyFill="1" applyBorder="1"/>
    <xf numFmtId="0" fontId="0" fillId="0" borderId="17" xfId="0" applyBorder="1"/>
    <xf numFmtId="0" fontId="21" fillId="0" borderId="17" xfId="0" applyFont="1" applyBorder="1"/>
    <xf numFmtId="0" fontId="0" fillId="0" borderId="16" xfId="0" applyBorder="1"/>
    <xf numFmtId="0" fontId="13" fillId="34" borderId="0" xfId="0" applyFont="1" applyFill="1" applyAlignment="1">
      <alignment horizontal="center" vertical="center" wrapText="1"/>
    </xf>
    <xf numFmtId="165" fontId="13" fillId="34" borderId="0" xfId="0" applyNumberFormat="1" applyFont="1" applyFill="1" applyAlignment="1">
      <alignment horizontal="center" vertical="center" wrapText="1"/>
    </xf>
    <xf numFmtId="0" fontId="13" fillId="34" borderId="0" xfId="0" applyFont="1" applyFill="1"/>
    <xf numFmtId="0" fontId="20" fillId="34" borderId="0" xfId="0" applyFont="1" applyFill="1" applyAlignment="1">
      <alignment horizontal="center" vertical="center" wrapText="1"/>
    </xf>
    <xf numFmtId="0" fontId="13" fillId="36" borderId="12" xfId="0" applyFont="1" applyFill="1" applyBorder="1"/>
    <xf numFmtId="0" fontId="13" fillId="36" borderId="13" xfId="0" applyFont="1" applyFill="1" applyBorder="1"/>
    <xf numFmtId="0" fontId="20" fillId="36" borderId="13" xfId="0" applyFont="1" applyFill="1" applyBorder="1"/>
    <xf numFmtId="0" fontId="0" fillId="33" borderId="12" xfId="0" applyFill="1" applyBorder="1"/>
    <xf numFmtId="0" fontId="19" fillId="33" borderId="13" xfId="0" applyFont="1" applyFill="1" applyBorder="1"/>
    <xf numFmtId="0" fontId="0" fillId="36" borderId="12" xfId="0" applyFill="1" applyBorder="1"/>
    <xf numFmtId="0" fontId="13" fillId="35" borderId="15" xfId="0" applyFont="1" applyFill="1" applyBorder="1" applyAlignment="1">
      <alignment horizontal="center" vertical="center" wrapText="1"/>
    </xf>
    <xf numFmtId="0" fontId="20" fillId="35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theme="7" tint="0.39997558519241921"/>
        </left>
        <right/>
        <top style="thin">
          <color theme="4" tint="0.39997558519241921"/>
        </top>
        <bottom/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  <alignment horizontal="center" vertical="center" textRotation="0" wrapText="1" indent="0" justifyLastLine="0" shrinkToFit="0" readingOrder="0"/>
    </dxf>
    <dxf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numFmt numFmtId="165" formatCode="mm/dd/yyyy;@"/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numFmt numFmtId="165" formatCode="mm/dd/yyyy;@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  <alignment horizontal="center" vertical="center" textRotation="0" wrapText="1" indent="0" justifyLastLine="0" shrinkToFit="0" readingOrder="0"/>
    </dxf>
    <dxf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5" formatCode="mm/dd/yy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5" formatCode="mm/dd/yyyy;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15CDBC-22E6-4410-9601-67C8092C2E7F}" name="Fact_Revenue" displayName="Fact_Revenue" ref="A1:Y89" totalsRowShown="0" headerRowDxfId="67" tableBorderDxfId="66">
  <autoFilter ref="A1:Y89" xr:uid="{A415CDBC-22E6-4410-9601-67C8092C2E7F}"/>
  <tableColumns count="25">
    <tableColumn id="1" xr3:uid="{F673EA62-D3A0-49C9-B21B-D1E51C3B9CA4}" name="Order_ID" dataDxfId="65">
      <calculatedColumnFormula>VLOOKUP(B2,Order_Dim!A2:B89,2,1)</calculatedColumnFormula>
    </tableColumn>
    <tableColumn id="2" xr3:uid="{ABD1E000-F0B5-422D-B454-11B5AE35D13E}" name="Sales_Order #" dataDxfId="64"/>
    <tableColumn id="3" xr3:uid="{89012CA9-1E29-4183-91DF-11FFC8F3F3CF}" name="Date" dataDxfId="63"/>
    <tableColumn id="4" xr3:uid="{BB095AAC-78A5-4280-9E5C-EF16A34B80B8}" name="Date_ID" dataDxfId="62">
      <calculatedColumnFormula>VLOOKUP(C2,Date_Dim!A2:B89,2,1)</calculatedColumnFormula>
    </tableColumn>
    <tableColumn id="5" xr3:uid="{627063C4-3148-4AC3-9C54-5490B02E92BF}" name="Day" dataDxfId="61"/>
    <tableColumn id="6" xr3:uid="{D6FAD756-41F8-4C5D-9309-4568FC94EFB2}" name="Month" dataDxfId="60"/>
    <tableColumn id="7" xr3:uid="{80E0C6F3-E006-4C44-A70D-1CF3B4DD70DA}" name="Year" dataDxfId="59"/>
    <tableColumn id="8" xr3:uid="{D3841B3D-592D-417F-9FFE-42DB30A97B08}" name="Customer_ID" dataDxfId="58">
      <calculatedColumnFormula>VLOOKUP(I2,'Customer_Dim'!A2:B89,2,1)</calculatedColumnFormula>
    </tableColumn>
    <tableColumn id="9" xr3:uid="{647C07C9-AD01-49B3-BDDB-8C8E799BD893}" name="Customer_Age" dataDxfId="57"/>
    <tableColumn id="10" xr3:uid="{E596282B-9B48-4AC8-8859-9FD4BD5A911F}" name="Age_Group" dataDxfId="56"/>
    <tableColumn id="11" xr3:uid="{0773B0EE-FC83-4463-8DC9-09D22433D596}" name="Customer_Gender" dataDxfId="55"/>
    <tableColumn id="12" xr3:uid="{30F9224A-8C80-43EC-9A0E-00465E0529D8}" name="Country" dataDxfId="54"/>
    <tableColumn id="13" xr3:uid="{3970E8E5-625A-4156-98EF-76F8F40DD024}" name="State" dataDxfId="53"/>
    <tableColumn id="14" xr3:uid="{F6F2489C-8102-4423-9881-252FFDFEFF03}" name="Product_ID" dataDxfId="52">
      <calculatedColumnFormula>VLOOKUP(O1,Product_Dim!A2:B89,2,1)</calculatedColumnFormula>
    </tableColumn>
    <tableColumn id="15" xr3:uid="{74D74F63-7CA8-4F67-A73B-844AAC29BD25}" name="Product_Category" dataDxfId="51"/>
    <tableColumn id="16" xr3:uid="{049BEE01-5651-4D24-8559-0EBE11F826D7}" name="Sub_Category" dataDxfId="50"/>
    <tableColumn id="17" xr3:uid="{6088D295-C29D-48FE-8D5F-836867B247E2}" name="Model" dataDxfId="49"/>
    <tableColumn id="18" xr3:uid="{1D894CEF-B539-481A-BEC6-E198CD149B51}" name="Color" dataDxfId="48"/>
    <tableColumn id="19" xr3:uid="{A19E2402-C831-4FC5-BF0A-9C65284E1FFB}" name="Size" dataDxfId="47"/>
    <tableColumn id="20" xr3:uid="{3A03DA58-E275-489E-9030-D153D3A66EB3}" name="Order_Quantity" dataDxfId="46"/>
    <tableColumn id="21" xr3:uid="{C2DC633E-486B-4B3F-977E-4C973D744531}" name=" Unit_Cost " dataDxfId="45"/>
    <tableColumn id="22" xr3:uid="{EC089D27-BA9A-470F-B6EC-C4C89002FC66}" name=" Unit_Price " dataDxfId="44"/>
    <tableColumn id="23" xr3:uid="{1F0539EB-D06B-4B62-AE8A-4D6D960F9A6B}" name=" Profit " dataDxfId="43"/>
    <tableColumn id="24" xr3:uid="{4DADED2F-0983-4726-994C-A999D4F6E6AE}" name=" Cost " dataDxfId="42">
      <calculatedColumnFormula>T2*U2</calculatedColumnFormula>
    </tableColumn>
    <tableColumn id="25" xr3:uid="{29EB9864-E116-4346-842E-21A83CD6CE47}" name="Revenue" dataDxfId="41">
      <calculatedColumnFormula>T2*V2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15FBE-F9AB-41D3-9C77-B4F20C642D9F}" name="Date_Dim" displayName="Date_Dim" ref="A1:E89" totalsRowShown="0" headerRowDxfId="40" tableBorderDxfId="39">
  <autoFilter ref="A1:E89" xr:uid="{8FA15FBE-F9AB-41D3-9C77-B4F20C642D9F}"/>
  <tableColumns count="5">
    <tableColumn id="1" xr3:uid="{057AEC7B-0759-4799-88AD-497837E6FF95}" name="Date" dataDxfId="38"/>
    <tableColumn id="2" xr3:uid="{85432034-BBAC-4F0D-B288-517DD86B3A61}" name="Date_ID" dataDxfId="37">
      <calculatedColumnFormula>YEAR(A2)&amp;TEXT(MONTH(A2),"00")&amp;TEXT(DAY(A2),"00")</calculatedColumnFormula>
    </tableColumn>
    <tableColumn id="3" xr3:uid="{3692A36C-F77A-4726-8130-0DFE200AF3F1}" name="Day" dataDxfId="36"/>
    <tableColumn id="4" xr3:uid="{269C861A-1DB6-4F12-B9E6-271D5AB18A73}" name="Month" dataDxfId="35"/>
    <tableColumn id="5" xr3:uid="{3C1BD640-EDF0-4942-901E-66CCEA3A1F87}" name="Year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4EE790B-6A71-48EA-95F7-E0F6D0FEE911}" name="Customer_Dim" displayName="Customer_Dim" ref="A1:F89" totalsRowShown="0" headerRowDxfId="33" dataDxfId="32" tableBorderDxfId="31">
  <autoFilter ref="A1:F89" xr:uid="{64EE790B-6A71-48EA-95F7-E0F6D0FEE911}"/>
  <tableColumns count="6">
    <tableColumn id="1" xr3:uid="{455E9184-6B7D-48AE-ABEE-A60F5939EFA4}" name="Customer_Age" dataDxfId="30"/>
    <tableColumn id="2" xr3:uid="{1C38EA13-4195-4A94-8FCD-248E7F8F3C81}" name="Customer_ID" dataDxfId="29"/>
    <tableColumn id="3" xr3:uid="{11D06BF9-60B5-4CCA-9A52-0214A7104063}" name="Age_Group" dataDxfId="28"/>
    <tableColumn id="4" xr3:uid="{DA850756-79C9-4A70-8436-DCA08600A21B}" name="Customer_Gender" dataDxfId="27"/>
    <tableColumn id="5" xr3:uid="{45C8C778-2B14-4C96-B9D1-5759B893D7F1}" name="Country" dataDxfId="26"/>
    <tableColumn id="6" xr3:uid="{3F39BA5D-0042-4CE3-A91B-1286ADD63845}" name="State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58131C-99E4-4C85-A6DD-8F79E0FB1FD4}" name="Product_Dim" displayName="Product_Dim" ref="A1:F89" totalsRowShown="0" headerRowDxfId="24" dataDxfId="23" tableBorderDxfId="22">
  <autoFilter ref="A1:F89" xr:uid="{F458131C-99E4-4C85-A6DD-8F79E0FB1FD4}"/>
  <tableColumns count="6">
    <tableColumn id="1" xr3:uid="{D49E329D-A899-48E8-8257-5B4E8B854C5A}" name="Product_Category" dataDxfId="21"/>
    <tableColumn id="2" xr3:uid="{32E3DDFC-CF50-4875-8A11-87CF1C580F0D}" name="Product_ID" dataDxfId="20"/>
    <tableColumn id="3" xr3:uid="{B7C440A7-19D6-4334-B2EE-6FDBE4D5B7E8}" name="Sub_Category" dataDxfId="19"/>
    <tableColumn id="4" xr3:uid="{43FD2F00-8EA9-4767-B755-1816FA6FEEBB}" name="Model" dataDxfId="18"/>
    <tableColumn id="5" xr3:uid="{9A5E5836-4802-4B59-A762-A1AF89CFB65E}" name="Color" dataDxfId="17"/>
    <tableColumn id="6" xr3:uid="{B458A5C7-BD72-40A6-80DC-312598FF0F20}" name="Size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F0243-27B2-4FAE-ABDE-9A0840FA3EB0}" name="Order_Dim" displayName="Order_Dim" ref="A1:B89" totalsRowShown="0" tableBorderDxfId="15">
  <autoFilter ref="A1:B89" xr:uid="{055F0243-27B2-4FAE-ABDE-9A0840FA3EB0}"/>
  <tableColumns count="2">
    <tableColumn id="1" xr3:uid="{7AC55BFA-93BD-497B-9AD6-AB17B9FE1D1A}" name="Sales_Order #" dataDxfId="14"/>
    <tableColumn id="2" xr3:uid="{63EF75C9-66EE-4E7A-8029-A3DD310CB7D2}" name="Order_ID" dataDxfId="1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workbookViewId="0">
      <selection activeCell="G94" sqref="G94"/>
    </sheetView>
  </sheetViews>
  <sheetFormatPr defaultRowHeight="14.4" x14ac:dyDescent="0.3"/>
  <cols>
    <col min="1" max="1" width="15.109375" customWidth="1"/>
    <col min="2" max="2" width="10.6640625" style="13" bestFit="1" customWidth="1"/>
    <col min="4" max="4" width="10.109375" bestFit="1" customWidth="1"/>
    <col min="6" max="6" width="10" customWidth="1"/>
    <col min="7" max="7" width="16.88671875" style="3" customWidth="1"/>
    <col min="8" max="8" width="9.44140625" customWidth="1"/>
    <col min="9" max="9" width="14" customWidth="1"/>
    <col min="10" max="10" width="19.6640625" customWidth="1"/>
    <col min="11" max="11" width="17.6640625" customWidth="1"/>
    <col min="12" max="12" width="16.5546875" customWidth="1"/>
    <col min="13" max="13" width="23" customWidth="1"/>
    <col min="14" max="14" width="10.33203125" customWidth="1"/>
    <col min="15" max="15" width="10" customWidth="1"/>
    <col min="16" max="16" width="11.88671875" customWidth="1"/>
    <col min="17" max="18" width="9.88671875" bestFit="1" customWidth="1"/>
    <col min="19" max="19" width="10.88671875" bestFit="1" customWidth="1"/>
  </cols>
  <sheetData>
    <row r="1" spans="1:19" s="8" customFormat="1" ht="97.5" customHeight="1" x14ac:dyDescent="0.3">
      <c r="A1" s="8" t="s">
        <v>0</v>
      </c>
      <c r="B1" s="1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3">
      <c r="A2" s="2" t="s">
        <v>19</v>
      </c>
      <c r="B2" s="13">
        <v>44531</v>
      </c>
      <c r="C2">
        <v>1</v>
      </c>
      <c r="D2" t="s">
        <v>20</v>
      </c>
      <c r="E2">
        <v>2021</v>
      </c>
      <c r="F2">
        <v>39</v>
      </c>
      <c r="G2" s="3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10" t="s">
        <v>27</v>
      </c>
      <c r="N2">
        <v>4</v>
      </c>
      <c r="O2" s="1">
        <v>1252</v>
      </c>
      <c r="P2" s="1">
        <v>2295</v>
      </c>
      <c r="Q2" s="1">
        <v>4172</v>
      </c>
      <c r="R2" s="1">
        <f>N2*O2</f>
        <v>5008</v>
      </c>
      <c r="S2" s="1">
        <f>N2*P2</f>
        <v>9180</v>
      </c>
    </row>
    <row r="3" spans="1:19" x14ac:dyDescent="0.3">
      <c r="A3" s="2" t="s">
        <v>19</v>
      </c>
      <c r="B3" s="13">
        <v>44531</v>
      </c>
      <c r="C3">
        <v>1</v>
      </c>
      <c r="D3" t="s">
        <v>20</v>
      </c>
      <c r="E3">
        <v>2021</v>
      </c>
      <c r="F3">
        <v>44</v>
      </c>
      <c r="G3" s="3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10" t="s">
        <v>31</v>
      </c>
      <c r="N3">
        <v>1</v>
      </c>
      <c r="O3" s="1">
        <v>1266</v>
      </c>
      <c r="P3" s="1">
        <v>2320</v>
      </c>
      <c r="Q3" s="1">
        <v>1054</v>
      </c>
      <c r="R3" s="1">
        <f t="shared" ref="R3:R67" si="0">N3*O3</f>
        <v>1266</v>
      </c>
      <c r="S3" s="1">
        <f t="shared" ref="S3:S67" si="1">N3*P3</f>
        <v>2320</v>
      </c>
    </row>
    <row r="4" spans="1:19" x14ac:dyDescent="0.3">
      <c r="A4" s="2" t="s">
        <v>32</v>
      </c>
      <c r="B4" s="13">
        <v>44532</v>
      </c>
      <c r="C4">
        <v>2</v>
      </c>
      <c r="D4" t="s">
        <v>20</v>
      </c>
      <c r="E4">
        <v>2021</v>
      </c>
      <c r="F4">
        <v>37</v>
      </c>
      <c r="G4" s="3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10" t="s">
        <v>34</v>
      </c>
      <c r="N4">
        <v>2</v>
      </c>
      <c r="O4" s="1">
        <v>420</v>
      </c>
      <c r="P4" s="1">
        <v>769</v>
      </c>
      <c r="Q4" s="1">
        <v>698</v>
      </c>
      <c r="R4" s="1">
        <f t="shared" si="0"/>
        <v>840</v>
      </c>
      <c r="S4" s="1">
        <f t="shared" si="1"/>
        <v>1538</v>
      </c>
    </row>
    <row r="5" spans="1:19" x14ac:dyDescent="0.3">
      <c r="A5" s="2" t="s">
        <v>35</v>
      </c>
      <c r="B5" s="13">
        <v>44532</v>
      </c>
      <c r="C5">
        <v>2</v>
      </c>
      <c r="D5" t="s">
        <v>20</v>
      </c>
      <c r="E5">
        <v>2021</v>
      </c>
      <c r="F5">
        <v>31</v>
      </c>
      <c r="G5" s="3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10" t="s">
        <v>39</v>
      </c>
      <c r="N5">
        <v>1</v>
      </c>
      <c r="O5" s="1">
        <v>420</v>
      </c>
      <c r="P5" s="1">
        <v>769</v>
      </c>
      <c r="Q5" s="1">
        <v>349</v>
      </c>
      <c r="R5" s="1">
        <f t="shared" si="0"/>
        <v>420</v>
      </c>
      <c r="S5" s="1">
        <f t="shared" si="1"/>
        <v>769</v>
      </c>
    </row>
    <row r="6" spans="1:19" x14ac:dyDescent="0.3">
      <c r="A6" s="2" t="s">
        <v>40</v>
      </c>
      <c r="B6" s="13">
        <v>44533</v>
      </c>
      <c r="C6">
        <v>3</v>
      </c>
      <c r="D6" t="s">
        <v>20</v>
      </c>
      <c r="E6">
        <v>2021</v>
      </c>
      <c r="F6">
        <v>37</v>
      </c>
      <c r="G6" s="3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10" t="s">
        <v>27</v>
      </c>
      <c r="N6">
        <v>2</v>
      </c>
      <c r="O6" s="1">
        <v>0</v>
      </c>
      <c r="P6" s="1">
        <v>2295</v>
      </c>
      <c r="Q6" s="1">
        <v>2086</v>
      </c>
      <c r="R6" s="1">
        <f t="shared" si="0"/>
        <v>0</v>
      </c>
      <c r="S6" s="1">
        <f t="shared" si="1"/>
        <v>4590</v>
      </c>
    </row>
    <row r="7" spans="1:19" x14ac:dyDescent="0.3">
      <c r="A7" s="2" t="s">
        <v>42</v>
      </c>
      <c r="B7" s="13">
        <v>44533</v>
      </c>
      <c r="C7">
        <v>3</v>
      </c>
      <c r="D7" t="s">
        <v>20</v>
      </c>
      <c r="E7">
        <v>2021</v>
      </c>
      <c r="F7">
        <v>24</v>
      </c>
      <c r="G7" s="3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10" t="s">
        <v>44</v>
      </c>
      <c r="N7">
        <v>1</v>
      </c>
      <c r="O7" s="1">
        <v>1252</v>
      </c>
      <c r="P7" s="1">
        <v>2295</v>
      </c>
      <c r="Q7" s="1">
        <v>1043</v>
      </c>
      <c r="R7" s="1">
        <f t="shared" si="0"/>
        <v>1252</v>
      </c>
      <c r="S7" s="1">
        <f t="shared" si="1"/>
        <v>2295</v>
      </c>
    </row>
    <row r="8" spans="1:19" x14ac:dyDescent="0.3">
      <c r="A8" s="2" t="s">
        <v>45</v>
      </c>
      <c r="B8" s="13">
        <v>44533</v>
      </c>
      <c r="C8">
        <v>3</v>
      </c>
      <c r="D8" t="s">
        <v>20</v>
      </c>
      <c r="E8">
        <v>2021</v>
      </c>
      <c r="F8">
        <v>37</v>
      </c>
      <c r="G8" s="3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10" t="s">
        <v>27</v>
      </c>
      <c r="N8">
        <v>1</v>
      </c>
      <c r="O8" s="1">
        <v>1252</v>
      </c>
      <c r="P8" s="1">
        <v>2295</v>
      </c>
      <c r="Q8" s="1">
        <v>1043</v>
      </c>
      <c r="R8" s="1">
        <f t="shared" si="0"/>
        <v>1252</v>
      </c>
      <c r="S8" s="1">
        <f t="shared" si="1"/>
        <v>2295</v>
      </c>
    </row>
    <row r="9" spans="1:19" s="4" customFormat="1" x14ac:dyDescent="0.3">
      <c r="A9" s="6" t="s">
        <v>45</v>
      </c>
      <c r="B9" s="14">
        <v>44533</v>
      </c>
      <c r="C9" s="4">
        <v>3</v>
      </c>
      <c r="D9" s="4" t="s">
        <v>20</v>
      </c>
      <c r="E9" s="4">
        <v>2021</v>
      </c>
      <c r="F9" s="4">
        <v>37</v>
      </c>
      <c r="G9" s="7" t="s">
        <v>21</v>
      </c>
      <c r="H9" s="4" t="s">
        <v>28</v>
      </c>
      <c r="I9" s="4" t="s">
        <v>23</v>
      </c>
      <c r="J9" s="4" t="s">
        <v>47</v>
      </c>
      <c r="K9" s="4" t="s">
        <v>25</v>
      </c>
      <c r="L9" s="4" t="s">
        <v>26</v>
      </c>
      <c r="M9" s="11" t="s">
        <v>27</v>
      </c>
      <c r="N9" s="4">
        <v>1</v>
      </c>
      <c r="O9" s="5">
        <v>1252</v>
      </c>
      <c r="P9" s="5">
        <v>2295</v>
      </c>
      <c r="Q9" s="5">
        <v>1043</v>
      </c>
      <c r="R9" s="5">
        <f t="shared" ref="R9" si="2">N9*O9</f>
        <v>1252</v>
      </c>
      <c r="S9" s="5">
        <f t="shared" ref="S9" si="3">N9*P9</f>
        <v>2295</v>
      </c>
    </row>
    <row r="10" spans="1:19" x14ac:dyDescent="0.3">
      <c r="A10" s="2" t="s">
        <v>48</v>
      </c>
      <c r="B10" s="13">
        <v>44534</v>
      </c>
      <c r="C10">
        <v>4</v>
      </c>
      <c r="D10" t="s">
        <v>20</v>
      </c>
      <c r="E10">
        <v>2021</v>
      </c>
      <c r="F10">
        <v>31</v>
      </c>
      <c r="G10" s="3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10" t="s">
        <v>39</v>
      </c>
      <c r="N10">
        <v>4</v>
      </c>
      <c r="O10" s="1">
        <v>420</v>
      </c>
      <c r="P10" s="1">
        <v>0</v>
      </c>
      <c r="Q10" s="1">
        <v>1396</v>
      </c>
      <c r="R10" s="1">
        <f t="shared" si="0"/>
        <v>1680</v>
      </c>
      <c r="S10" s="1">
        <f t="shared" si="1"/>
        <v>0</v>
      </c>
    </row>
    <row r="11" spans="1:19" x14ac:dyDescent="0.3">
      <c r="A11" s="2" t="s">
        <v>49</v>
      </c>
      <c r="B11" s="13">
        <v>44535</v>
      </c>
      <c r="C11">
        <v>5</v>
      </c>
      <c r="D11" t="s">
        <v>20</v>
      </c>
      <c r="E11">
        <v>2021</v>
      </c>
      <c r="F11">
        <v>39</v>
      </c>
      <c r="G11" s="3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10" t="s">
        <v>27</v>
      </c>
      <c r="N11">
        <v>4</v>
      </c>
      <c r="O11" s="1">
        <v>1252</v>
      </c>
      <c r="P11" s="1">
        <v>2295</v>
      </c>
      <c r="Q11" s="1">
        <v>4172</v>
      </c>
      <c r="R11" s="1">
        <f t="shared" si="0"/>
        <v>5008</v>
      </c>
      <c r="S11" s="1">
        <f t="shared" si="1"/>
        <v>9180</v>
      </c>
    </row>
    <row r="12" spans="1:19" x14ac:dyDescent="0.3">
      <c r="A12" s="2" t="s">
        <v>50</v>
      </c>
      <c r="B12" s="13">
        <v>44535</v>
      </c>
      <c r="D12" t="s">
        <v>20</v>
      </c>
      <c r="E12">
        <v>2021</v>
      </c>
      <c r="F12">
        <v>42</v>
      </c>
      <c r="G12" s="3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10" t="s">
        <v>44</v>
      </c>
      <c r="N12">
        <v>4</v>
      </c>
      <c r="O12" s="1">
        <v>1252</v>
      </c>
      <c r="P12" s="1">
        <v>2295</v>
      </c>
      <c r="Q12" s="1">
        <v>4172</v>
      </c>
      <c r="R12" s="1">
        <f t="shared" si="0"/>
        <v>5008</v>
      </c>
      <c r="S12" s="1">
        <f t="shared" si="1"/>
        <v>9180</v>
      </c>
    </row>
    <row r="13" spans="1:19" x14ac:dyDescent="0.3">
      <c r="A13" s="2" t="s">
        <v>53</v>
      </c>
      <c r="B13" s="13">
        <v>44535</v>
      </c>
      <c r="C13">
        <v>5</v>
      </c>
      <c r="D13" t="s">
        <v>20</v>
      </c>
      <c r="E13">
        <v>2021</v>
      </c>
      <c r="F13">
        <v>35</v>
      </c>
      <c r="G13" s="3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10" t="s">
        <v>55</v>
      </c>
      <c r="N13">
        <v>1</v>
      </c>
      <c r="O13" s="1">
        <v>1266</v>
      </c>
      <c r="P13" s="1">
        <v>2320</v>
      </c>
      <c r="Q13" s="1">
        <v>1054</v>
      </c>
      <c r="R13" s="1">
        <f t="shared" si="0"/>
        <v>1266</v>
      </c>
      <c r="S13" s="1">
        <f t="shared" si="1"/>
        <v>2320</v>
      </c>
    </row>
    <row r="14" spans="1:19" x14ac:dyDescent="0.3">
      <c r="A14" s="2" t="s">
        <v>56</v>
      </c>
      <c r="B14" s="13">
        <v>44535</v>
      </c>
      <c r="C14">
        <v>5</v>
      </c>
      <c r="D14" t="s">
        <v>20</v>
      </c>
      <c r="E14">
        <v>2021</v>
      </c>
      <c r="F14">
        <v>37</v>
      </c>
      <c r="G14" s="3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10" t="s">
        <v>27</v>
      </c>
      <c r="N14">
        <v>1</v>
      </c>
      <c r="O14" s="1">
        <v>1252</v>
      </c>
      <c r="P14" s="1">
        <v>2295</v>
      </c>
      <c r="Q14" s="1">
        <v>1043</v>
      </c>
      <c r="R14" s="1">
        <f t="shared" si="0"/>
        <v>1252</v>
      </c>
      <c r="S14" s="1">
        <f t="shared" si="1"/>
        <v>2295</v>
      </c>
    </row>
    <row r="15" spans="1:19" x14ac:dyDescent="0.3">
      <c r="A15" s="2" t="s">
        <v>57</v>
      </c>
      <c r="B15" s="13">
        <v>44536</v>
      </c>
      <c r="C15">
        <v>6</v>
      </c>
      <c r="D15" t="s">
        <v>20</v>
      </c>
      <c r="E15">
        <v>2021</v>
      </c>
      <c r="F15">
        <v>23</v>
      </c>
      <c r="G15" s="3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10" t="s">
        <v>34</v>
      </c>
      <c r="N15">
        <v>3</v>
      </c>
      <c r="O15" s="1">
        <v>420</v>
      </c>
      <c r="P15" s="1">
        <v>769</v>
      </c>
      <c r="Q15" s="1">
        <v>1047</v>
      </c>
      <c r="R15" s="1">
        <f t="shared" si="0"/>
        <v>1260</v>
      </c>
      <c r="S15" s="1">
        <f t="shared" si="1"/>
        <v>2307</v>
      </c>
    </row>
    <row r="16" spans="1:19" x14ac:dyDescent="0.3">
      <c r="A16" s="2" t="s">
        <v>58</v>
      </c>
      <c r="B16" s="13">
        <v>44536</v>
      </c>
      <c r="C16">
        <v>6</v>
      </c>
      <c r="D16" t="s">
        <v>20</v>
      </c>
      <c r="E16">
        <v>2021</v>
      </c>
      <c r="F16">
        <v>27</v>
      </c>
      <c r="G16" s="3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10" t="s">
        <v>27</v>
      </c>
      <c r="N16">
        <v>1</v>
      </c>
      <c r="O16" s="1">
        <v>1252</v>
      </c>
      <c r="P16" s="1">
        <v>2295</v>
      </c>
      <c r="Q16" s="1">
        <v>1043</v>
      </c>
      <c r="R16" s="1">
        <f t="shared" si="0"/>
        <v>1252</v>
      </c>
      <c r="S16" s="1">
        <f t="shared" si="1"/>
        <v>2295</v>
      </c>
    </row>
    <row r="17" spans="1:19" x14ac:dyDescent="0.3">
      <c r="A17" s="2" t="s">
        <v>61</v>
      </c>
      <c r="B17" s="13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10" t="s">
        <v>62</v>
      </c>
      <c r="N17">
        <v>1</v>
      </c>
      <c r="O17" s="1">
        <v>1252</v>
      </c>
      <c r="P17" s="1">
        <v>2295</v>
      </c>
      <c r="Q17" s="1">
        <v>1043</v>
      </c>
      <c r="R17" s="1">
        <f t="shared" si="0"/>
        <v>1252</v>
      </c>
      <c r="S17" s="1">
        <f t="shared" si="1"/>
        <v>2295</v>
      </c>
    </row>
    <row r="18" spans="1:19" x14ac:dyDescent="0.3">
      <c r="A18" s="2" t="s">
        <v>63</v>
      </c>
      <c r="B18" s="13">
        <v>44536</v>
      </c>
      <c r="C18">
        <v>6</v>
      </c>
      <c r="D18" t="s">
        <v>20</v>
      </c>
      <c r="E18">
        <v>2021</v>
      </c>
      <c r="F18">
        <v>47</v>
      </c>
      <c r="G18" s="3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10" t="s">
        <v>55</v>
      </c>
      <c r="N18">
        <v>1</v>
      </c>
      <c r="O18" s="1">
        <v>1266</v>
      </c>
      <c r="P18" s="1">
        <v>2320</v>
      </c>
      <c r="Q18" s="1">
        <v>1054</v>
      </c>
      <c r="R18" s="1">
        <f t="shared" si="0"/>
        <v>1266</v>
      </c>
      <c r="S18" s="1">
        <f t="shared" si="1"/>
        <v>2320</v>
      </c>
    </row>
    <row r="19" spans="1:19" x14ac:dyDescent="0.3">
      <c r="A19" s="2" t="s">
        <v>64</v>
      </c>
      <c r="B19" s="13">
        <v>44537</v>
      </c>
      <c r="C19">
        <v>7</v>
      </c>
      <c r="D19" t="s">
        <v>65</v>
      </c>
      <c r="E19">
        <v>2021</v>
      </c>
      <c r="F19">
        <v>30</v>
      </c>
      <c r="G19" s="3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10" t="s">
        <v>66</v>
      </c>
      <c r="N19">
        <v>4</v>
      </c>
      <c r="O19" s="1">
        <v>420</v>
      </c>
      <c r="P19" s="1">
        <v>769</v>
      </c>
      <c r="Q19" s="1">
        <v>1396</v>
      </c>
      <c r="R19" s="1">
        <f t="shared" si="0"/>
        <v>1680</v>
      </c>
      <c r="S19" s="1">
        <f t="shared" si="1"/>
        <v>3076</v>
      </c>
    </row>
    <row r="20" spans="1:19" x14ac:dyDescent="0.3">
      <c r="A20" s="2" t="s">
        <v>67</v>
      </c>
      <c r="B20" s="13">
        <v>44537</v>
      </c>
      <c r="C20">
        <v>7</v>
      </c>
      <c r="D20" t="s">
        <v>20</v>
      </c>
      <c r="E20">
        <v>2021</v>
      </c>
      <c r="F20">
        <v>38</v>
      </c>
      <c r="G20" s="3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10" t="s">
        <v>31</v>
      </c>
      <c r="N20">
        <v>2</v>
      </c>
      <c r="O20" s="1">
        <v>1266</v>
      </c>
      <c r="P20" s="1">
        <v>2320</v>
      </c>
      <c r="Q20" s="1">
        <v>2108</v>
      </c>
      <c r="R20" s="1">
        <f t="shared" si="0"/>
        <v>2532</v>
      </c>
      <c r="S20" s="1">
        <f t="shared" si="1"/>
        <v>4640</v>
      </c>
    </row>
    <row r="21" spans="1:19" x14ac:dyDescent="0.3">
      <c r="A21" s="2" t="s">
        <v>68</v>
      </c>
      <c r="B21" s="13">
        <v>44538</v>
      </c>
      <c r="C21">
        <v>8</v>
      </c>
      <c r="D21" t="s">
        <v>20</v>
      </c>
      <c r="E21">
        <v>2021</v>
      </c>
      <c r="F21">
        <v>19</v>
      </c>
      <c r="G21" s="3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10" t="s">
        <v>69</v>
      </c>
      <c r="N21">
        <v>4</v>
      </c>
      <c r="O21" s="1">
        <v>308</v>
      </c>
      <c r="P21" s="1">
        <v>565</v>
      </c>
      <c r="Q21" s="1">
        <v>1028</v>
      </c>
      <c r="R21" s="1">
        <f t="shared" si="0"/>
        <v>1232</v>
      </c>
      <c r="S21" s="1">
        <f t="shared" si="1"/>
        <v>2260</v>
      </c>
    </row>
    <row r="22" spans="1:19" x14ac:dyDescent="0.3">
      <c r="A22" s="2" t="s">
        <v>70</v>
      </c>
      <c r="B22" s="13">
        <v>44538</v>
      </c>
      <c r="C22">
        <v>8</v>
      </c>
      <c r="D22" t="s">
        <v>20</v>
      </c>
      <c r="E22">
        <v>2021</v>
      </c>
      <c r="F22">
        <v>30</v>
      </c>
      <c r="G22" s="3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10" t="s">
        <v>55</v>
      </c>
      <c r="N22">
        <v>4</v>
      </c>
      <c r="O22" s="1">
        <v>1266</v>
      </c>
      <c r="P22" s="1">
        <v>2320</v>
      </c>
      <c r="Q22" s="1">
        <v>4216</v>
      </c>
      <c r="R22" s="1">
        <f t="shared" si="0"/>
        <v>5064</v>
      </c>
      <c r="S22" s="1">
        <f t="shared" si="1"/>
        <v>9280</v>
      </c>
    </row>
    <row r="23" spans="1:19" x14ac:dyDescent="0.3">
      <c r="A23" s="2" t="s">
        <v>71</v>
      </c>
      <c r="B23" s="13">
        <v>44538</v>
      </c>
      <c r="C23">
        <v>8</v>
      </c>
      <c r="D23" t="s">
        <v>20</v>
      </c>
      <c r="E23">
        <v>2021</v>
      </c>
      <c r="F23">
        <v>39</v>
      </c>
      <c r="G23" s="3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10"/>
      <c r="N23">
        <v>2</v>
      </c>
      <c r="O23" s="1">
        <v>1252</v>
      </c>
      <c r="P23" s="1">
        <v>2295</v>
      </c>
      <c r="Q23" s="1">
        <v>2086</v>
      </c>
      <c r="R23" s="1">
        <f t="shared" si="0"/>
        <v>2504</v>
      </c>
      <c r="S23" s="1">
        <f t="shared" si="1"/>
        <v>4590</v>
      </c>
    </row>
    <row r="24" spans="1:19" x14ac:dyDescent="0.3">
      <c r="A24" s="2" t="s">
        <v>73</v>
      </c>
      <c r="B24" s="13">
        <v>44538</v>
      </c>
      <c r="C24">
        <v>8</v>
      </c>
      <c r="D24" t="s">
        <v>20</v>
      </c>
      <c r="E24">
        <v>2021</v>
      </c>
      <c r="F24">
        <v>35</v>
      </c>
      <c r="G24" s="3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10" t="s">
        <v>74</v>
      </c>
      <c r="O24" s="1">
        <v>295</v>
      </c>
      <c r="P24" s="1">
        <v>540</v>
      </c>
      <c r="Q24" s="1">
        <v>245</v>
      </c>
      <c r="R24" s="1">
        <f t="shared" si="0"/>
        <v>0</v>
      </c>
      <c r="S24" s="1">
        <f t="shared" si="1"/>
        <v>0</v>
      </c>
    </row>
    <row r="25" spans="1:19" x14ac:dyDescent="0.3">
      <c r="A25" s="2" t="s">
        <v>75</v>
      </c>
      <c r="B25" s="13">
        <v>44539</v>
      </c>
      <c r="C25">
        <v>9</v>
      </c>
      <c r="D25" t="s">
        <v>20</v>
      </c>
      <c r="E25">
        <v>2021</v>
      </c>
      <c r="F25">
        <v>33</v>
      </c>
      <c r="G25" s="3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10" t="s">
        <v>77</v>
      </c>
      <c r="N25">
        <v>2</v>
      </c>
      <c r="O25" s="1">
        <v>1898</v>
      </c>
      <c r="P25" s="1">
        <v>3375</v>
      </c>
      <c r="Q25" s="1">
        <v>2954</v>
      </c>
      <c r="R25" s="1">
        <f t="shared" si="0"/>
        <v>3796</v>
      </c>
      <c r="S25" s="1">
        <f t="shared" si="1"/>
        <v>6750</v>
      </c>
    </row>
    <row r="26" spans="1:19" x14ac:dyDescent="0.3">
      <c r="A26" s="2" t="s">
        <v>78</v>
      </c>
      <c r="B26" s="13">
        <v>44539</v>
      </c>
      <c r="C26">
        <v>9</v>
      </c>
      <c r="D26" t="s">
        <v>20</v>
      </c>
      <c r="E26">
        <v>2021</v>
      </c>
      <c r="F26">
        <v>41</v>
      </c>
      <c r="G26" s="3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10" t="s">
        <v>31</v>
      </c>
      <c r="N26">
        <v>1</v>
      </c>
      <c r="O26" s="1">
        <v>1266</v>
      </c>
      <c r="P26" s="1">
        <v>2320</v>
      </c>
      <c r="Q26" s="1">
        <v>1054</v>
      </c>
      <c r="R26" s="1">
        <f t="shared" si="0"/>
        <v>1266</v>
      </c>
      <c r="S26" s="1">
        <f t="shared" si="1"/>
        <v>2320</v>
      </c>
    </row>
    <row r="27" spans="1:19" x14ac:dyDescent="0.3">
      <c r="A27" s="2" t="s">
        <v>80</v>
      </c>
      <c r="B27" s="13">
        <v>44540</v>
      </c>
      <c r="C27">
        <v>10</v>
      </c>
      <c r="D27" t="s">
        <v>20</v>
      </c>
      <c r="E27">
        <v>2021</v>
      </c>
      <c r="F27">
        <v>34</v>
      </c>
      <c r="G27" s="3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10" t="s">
        <v>62</v>
      </c>
      <c r="N27">
        <v>2</v>
      </c>
      <c r="O27" s="1">
        <v>1252</v>
      </c>
      <c r="P27" s="1">
        <v>2295</v>
      </c>
      <c r="Q27" s="1">
        <v>2086</v>
      </c>
      <c r="R27" s="1">
        <f t="shared" si="0"/>
        <v>2504</v>
      </c>
      <c r="S27" s="1">
        <f t="shared" si="1"/>
        <v>4590</v>
      </c>
    </row>
    <row r="28" spans="1:19" x14ac:dyDescent="0.3">
      <c r="A28" s="2" t="s">
        <v>81</v>
      </c>
      <c r="B28" s="13">
        <v>44540</v>
      </c>
      <c r="C28">
        <v>10</v>
      </c>
      <c r="D28" t="s">
        <v>20</v>
      </c>
      <c r="E28">
        <v>2021</v>
      </c>
      <c r="F28">
        <v>40</v>
      </c>
      <c r="G28" s="3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10" t="s">
        <v>62</v>
      </c>
      <c r="N28">
        <v>2</v>
      </c>
      <c r="O28" s="1">
        <v>1252</v>
      </c>
      <c r="P28" s="1">
        <v>2295</v>
      </c>
      <c r="Q28" s="1">
        <v>2086</v>
      </c>
      <c r="R28" s="1">
        <f t="shared" si="0"/>
        <v>2504</v>
      </c>
      <c r="S28" s="1">
        <f t="shared" si="1"/>
        <v>4590</v>
      </c>
    </row>
    <row r="29" spans="1:19" x14ac:dyDescent="0.3">
      <c r="A29" s="2" t="s">
        <v>82</v>
      </c>
      <c r="B29" s="13">
        <v>44540</v>
      </c>
      <c r="C29">
        <v>10</v>
      </c>
      <c r="D29" t="s">
        <v>20</v>
      </c>
      <c r="E29">
        <v>2021</v>
      </c>
      <c r="F29">
        <v>26</v>
      </c>
      <c r="G29" s="3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10" t="s">
        <v>44</v>
      </c>
      <c r="N29">
        <v>1</v>
      </c>
      <c r="O29" s="1">
        <v>1252</v>
      </c>
      <c r="P29" s="1">
        <v>2295</v>
      </c>
      <c r="Q29" s="1">
        <v>1043</v>
      </c>
      <c r="R29" s="1">
        <f t="shared" si="0"/>
        <v>1252</v>
      </c>
      <c r="S29" s="1">
        <f t="shared" si="1"/>
        <v>2295</v>
      </c>
    </row>
    <row r="30" spans="1:19" x14ac:dyDescent="0.3">
      <c r="A30" s="2" t="s">
        <v>83</v>
      </c>
      <c r="B30" s="13">
        <v>44540</v>
      </c>
      <c r="C30">
        <v>10</v>
      </c>
      <c r="D30" t="s">
        <v>20</v>
      </c>
      <c r="E30">
        <v>2021</v>
      </c>
      <c r="F30">
        <v>34</v>
      </c>
      <c r="G30" s="3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10" t="s">
        <v>84</v>
      </c>
      <c r="N30">
        <v>1</v>
      </c>
      <c r="O30" s="1">
        <v>295</v>
      </c>
      <c r="P30" s="1">
        <v>540</v>
      </c>
      <c r="Q30" s="1">
        <v>245</v>
      </c>
      <c r="R30" s="1">
        <f t="shared" si="0"/>
        <v>295</v>
      </c>
      <c r="S30" s="1">
        <f t="shared" si="1"/>
        <v>540</v>
      </c>
    </row>
    <row r="31" spans="1:19" x14ac:dyDescent="0.3">
      <c r="A31" s="2" t="s">
        <v>85</v>
      </c>
      <c r="B31" s="13">
        <v>44540</v>
      </c>
      <c r="C31">
        <v>10</v>
      </c>
      <c r="D31" t="s">
        <v>20</v>
      </c>
      <c r="E31">
        <v>2021</v>
      </c>
      <c r="F31">
        <v>34</v>
      </c>
      <c r="G31" s="3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10" t="s">
        <v>86</v>
      </c>
      <c r="N31">
        <v>1</v>
      </c>
      <c r="O31" s="1">
        <v>1912</v>
      </c>
      <c r="P31" s="1">
        <v>3400</v>
      </c>
      <c r="Q31" s="1">
        <v>1488</v>
      </c>
      <c r="R31" s="1">
        <f t="shared" si="0"/>
        <v>1912</v>
      </c>
      <c r="S31" s="1">
        <f t="shared" si="1"/>
        <v>3400</v>
      </c>
    </row>
    <row r="32" spans="1:19" x14ac:dyDescent="0.3">
      <c r="A32" s="2" t="s">
        <v>87</v>
      </c>
      <c r="B32" s="13">
        <v>44540</v>
      </c>
      <c r="C32">
        <v>10</v>
      </c>
      <c r="D32" t="s">
        <v>20</v>
      </c>
      <c r="E32">
        <v>2021</v>
      </c>
      <c r="F32">
        <v>38</v>
      </c>
      <c r="G32" s="3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10" t="s">
        <v>44</v>
      </c>
      <c r="N32">
        <v>1</v>
      </c>
      <c r="O32" s="1">
        <v>1252</v>
      </c>
      <c r="P32" s="1">
        <v>2295</v>
      </c>
      <c r="Q32" s="1">
        <v>1043</v>
      </c>
      <c r="R32" s="1">
        <f t="shared" si="0"/>
        <v>1252</v>
      </c>
      <c r="S32" s="1">
        <f t="shared" si="1"/>
        <v>2295</v>
      </c>
    </row>
    <row r="33" spans="1:19" x14ac:dyDescent="0.3">
      <c r="A33" s="2" t="s">
        <v>88</v>
      </c>
      <c r="B33" s="13">
        <v>44541</v>
      </c>
      <c r="C33">
        <v>11</v>
      </c>
      <c r="D33" t="s">
        <v>20</v>
      </c>
      <c r="E33">
        <v>2021</v>
      </c>
      <c r="F33">
        <v>24</v>
      </c>
      <c r="G33" s="3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10" t="s">
        <v>44</v>
      </c>
      <c r="N33">
        <v>3</v>
      </c>
      <c r="O33" s="1">
        <v>1252</v>
      </c>
      <c r="P33" s="1">
        <v>2295</v>
      </c>
      <c r="Q33" s="1">
        <v>3129</v>
      </c>
      <c r="R33" s="1">
        <f t="shared" si="0"/>
        <v>3756</v>
      </c>
      <c r="S33" s="1">
        <f t="shared" si="1"/>
        <v>6885</v>
      </c>
    </row>
    <row r="34" spans="1:19" x14ac:dyDescent="0.3">
      <c r="A34" s="2" t="s">
        <v>91</v>
      </c>
      <c r="B34" s="13">
        <v>44541</v>
      </c>
      <c r="C34">
        <v>11</v>
      </c>
      <c r="D34" t="s">
        <v>20</v>
      </c>
      <c r="E34">
        <v>2021</v>
      </c>
      <c r="F34">
        <v>41</v>
      </c>
      <c r="G34" s="3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10" t="s">
        <v>66</v>
      </c>
      <c r="N34">
        <v>2</v>
      </c>
      <c r="O34" s="1">
        <v>420</v>
      </c>
      <c r="P34" s="1">
        <v>769</v>
      </c>
      <c r="Q34" s="1">
        <v>698</v>
      </c>
      <c r="R34" s="1">
        <f t="shared" si="0"/>
        <v>840</v>
      </c>
      <c r="S34" s="1">
        <f t="shared" si="1"/>
        <v>1538</v>
      </c>
    </row>
    <row r="35" spans="1:19" x14ac:dyDescent="0.3">
      <c r="A35" s="2" t="s">
        <v>92</v>
      </c>
      <c r="B35" s="13">
        <v>44541</v>
      </c>
      <c r="C35">
        <v>11</v>
      </c>
      <c r="D35" t="s">
        <v>20</v>
      </c>
      <c r="E35">
        <v>2021</v>
      </c>
      <c r="F35">
        <v>27</v>
      </c>
      <c r="G35" s="3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10" t="s">
        <v>27</v>
      </c>
      <c r="N35">
        <v>1</v>
      </c>
      <c r="O35" s="1">
        <v>1252</v>
      </c>
      <c r="P35" s="1">
        <v>2295</v>
      </c>
      <c r="Q35" s="1">
        <v>1043</v>
      </c>
      <c r="R35" s="1">
        <f t="shared" si="0"/>
        <v>1252</v>
      </c>
      <c r="S35" s="1">
        <f t="shared" si="1"/>
        <v>2295</v>
      </c>
    </row>
    <row r="36" spans="1:19" x14ac:dyDescent="0.3">
      <c r="A36" s="2" t="s">
        <v>93</v>
      </c>
      <c r="B36" s="13">
        <v>44541</v>
      </c>
      <c r="C36">
        <v>11</v>
      </c>
      <c r="D36" t="s">
        <v>20</v>
      </c>
      <c r="E36">
        <v>2021</v>
      </c>
      <c r="F36">
        <v>37</v>
      </c>
      <c r="G36" s="3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10" t="s">
        <v>34</v>
      </c>
      <c r="N36">
        <v>1</v>
      </c>
      <c r="O36" s="1">
        <v>420</v>
      </c>
      <c r="P36" s="1">
        <v>769</v>
      </c>
      <c r="Q36" s="1">
        <v>349</v>
      </c>
      <c r="R36" s="1">
        <f t="shared" si="0"/>
        <v>420</v>
      </c>
      <c r="S36" s="1">
        <f t="shared" si="1"/>
        <v>769</v>
      </c>
    </row>
    <row r="37" spans="1:19" x14ac:dyDescent="0.3">
      <c r="A37" s="2" t="s">
        <v>94</v>
      </c>
      <c r="B37" s="13">
        <v>44541</v>
      </c>
      <c r="C37">
        <v>11</v>
      </c>
      <c r="D37" t="s">
        <v>20</v>
      </c>
      <c r="E37">
        <v>2021</v>
      </c>
      <c r="F37">
        <v>38</v>
      </c>
      <c r="G37" s="3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10" t="s">
        <v>55</v>
      </c>
      <c r="N37">
        <v>1</v>
      </c>
      <c r="O37" s="1">
        <v>1266</v>
      </c>
      <c r="P37" s="1">
        <v>2320</v>
      </c>
      <c r="Q37" s="1">
        <v>1054</v>
      </c>
      <c r="R37" s="1">
        <f t="shared" si="0"/>
        <v>1266</v>
      </c>
      <c r="S37" s="1">
        <f t="shared" si="1"/>
        <v>2320</v>
      </c>
    </row>
    <row r="38" spans="1:19" x14ac:dyDescent="0.3">
      <c r="A38" s="2" t="s">
        <v>95</v>
      </c>
      <c r="B38" s="13">
        <v>44542</v>
      </c>
      <c r="C38">
        <v>12</v>
      </c>
      <c r="D38" t="s">
        <v>20</v>
      </c>
      <c r="E38">
        <v>2021</v>
      </c>
      <c r="F38">
        <v>36</v>
      </c>
      <c r="G38" s="3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10" t="s">
        <v>31</v>
      </c>
      <c r="N38">
        <v>4</v>
      </c>
      <c r="O38" s="1">
        <v>1266</v>
      </c>
      <c r="P38" s="1">
        <v>2320</v>
      </c>
      <c r="Q38" s="1">
        <v>4216</v>
      </c>
      <c r="R38" s="1">
        <f t="shared" si="0"/>
        <v>5064</v>
      </c>
      <c r="S38" s="1">
        <f t="shared" si="1"/>
        <v>9280</v>
      </c>
    </row>
    <row r="39" spans="1:19" x14ac:dyDescent="0.3">
      <c r="A39" s="2" t="s">
        <v>96</v>
      </c>
      <c r="B39" s="13">
        <v>44542</v>
      </c>
      <c r="C39">
        <v>12</v>
      </c>
      <c r="D39" t="s">
        <v>20</v>
      </c>
      <c r="E39">
        <v>2021</v>
      </c>
      <c r="F39">
        <v>37</v>
      </c>
      <c r="G39" s="3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10" t="s">
        <v>34</v>
      </c>
      <c r="N39">
        <v>4</v>
      </c>
      <c r="O39" s="1">
        <v>420</v>
      </c>
      <c r="P39" s="1">
        <v>769</v>
      </c>
      <c r="Q39" s="1">
        <v>1396</v>
      </c>
      <c r="R39" s="1">
        <f t="shared" si="0"/>
        <v>1680</v>
      </c>
      <c r="S39" s="1">
        <f t="shared" si="1"/>
        <v>3076</v>
      </c>
    </row>
    <row r="40" spans="1:19" x14ac:dyDescent="0.3">
      <c r="A40" s="2" t="s">
        <v>97</v>
      </c>
      <c r="B40" s="13">
        <v>44542</v>
      </c>
      <c r="C40">
        <v>12</v>
      </c>
      <c r="D40" t="s">
        <v>20</v>
      </c>
      <c r="E40">
        <v>2021</v>
      </c>
      <c r="F40">
        <v>34</v>
      </c>
      <c r="G40" s="3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10" t="s">
        <v>44</v>
      </c>
      <c r="N40">
        <v>2</v>
      </c>
      <c r="O40" s="1">
        <v>1252</v>
      </c>
      <c r="P40" s="1">
        <v>2295</v>
      </c>
      <c r="Q40" s="1">
        <v>2086</v>
      </c>
      <c r="R40" s="1">
        <f t="shared" si="0"/>
        <v>2504</v>
      </c>
      <c r="S40" s="1">
        <f t="shared" si="1"/>
        <v>4590</v>
      </c>
    </row>
    <row r="41" spans="1:19" x14ac:dyDescent="0.3">
      <c r="A41" s="2" t="s">
        <v>98</v>
      </c>
      <c r="B41" s="13">
        <v>44542</v>
      </c>
      <c r="C41">
        <v>12</v>
      </c>
      <c r="D41" t="s">
        <v>20</v>
      </c>
      <c r="E41">
        <v>2021</v>
      </c>
      <c r="F41">
        <v>35</v>
      </c>
      <c r="G41" s="3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10" t="s">
        <v>31</v>
      </c>
      <c r="N41">
        <v>1</v>
      </c>
      <c r="O41" s="1">
        <v>1266</v>
      </c>
      <c r="P41" s="1">
        <v>2320</v>
      </c>
      <c r="Q41" s="1">
        <v>1054</v>
      </c>
      <c r="R41" s="1">
        <f t="shared" si="0"/>
        <v>1266</v>
      </c>
      <c r="S41" s="1">
        <f t="shared" si="1"/>
        <v>2320</v>
      </c>
    </row>
    <row r="42" spans="1:19" x14ac:dyDescent="0.3">
      <c r="A42" s="2" t="s">
        <v>99</v>
      </c>
      <c r="B42" s="13">
        <v>44542</v>
      </c>
      <c r="C42">
        <v>12</v>
      </c>
      <c r="D42" t="s">
        <v>20</v>
      </c>
      <c r="E42">
        <v>2021</v>
      </c>
      <c r="F42">
        <v>38</v>
      </c>
      <c r="G42" s="3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10" t="s">
        <v>31</v>
      </c>
      <c r="N42">
        <v>1</v>
      </c>
      <c r="O42" s="1">
        <v>1266</v>
      </c>
      <c r="P42" s="1">
        <v>2320</v>
      </c>
      <c r="Q42" s="1">
        <v>1054</v>
      </c>
      <c r="R42" s="1">
        <f t="shared" si="0"/>
        <v>1266</v>
      </c>
      <c r="S42" s="1">
        <f t="shared" si="1"/>
        <v>2320</v>
      </c>
    </row>
    <row r="43" spans="1:19" x14ac:dyDescent="0.3">
      <c r="A43" s="2" t="s">
        <v>100</v>
      </c>
      <c r="B43" s="13">
        <v>44543</v>
      </c>
      <c r="C43">
        <v>13</v>
      </c>
      <c r="D43" t="s">
        <v>20</v>
      </c>
      <c r="E43">
        <v>2021</v>
      </c>
      <c r="F43">
        <v>32</v>
      </c>
      <c r="G43" s="3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10" t="s">
        <v>31</v>
      </c>
      <c r="N43">
        <v>3</v>
      </c>
      <c r="O43" s="1">
        <v>1266</v>
      </c>
      <c r="P43" s="1">
        <v>2320</v>
      </c>
      <c r="Q43" s="1">
        <v>3162</v>
      </c>
      <c r="R43" s="1">
        <f t="shared" si="0"/>
        <v>3798</v>
      </c>
      <c r="S43" s="1">
        <f t="shared" si="1"/>
        <v>6960</v>
      </c>
    </row>
    <row r="44" spans="1:19" x14ac:dyDescent="0.3">
      <c r="A44" s="2" t="s">
        <v>101</v>
      </c>
      <c r="B44" s="13">
        <v>44543</v>
      </c>
      <c r="C44">
        <v>13</v>
      </c>
      <c r="D44" t="s">
        <v>20</v>
      </c>
      <c r="E44">
        <v>2021</v>
      </c>
      <c r="F44">
        <v>40</v>
      </c>
      <c r="G44" s="3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10" t="s">
        <v>102</v>
      </c>
      <c r="N44">
        <v>1</v>
      </c>
      <c r="O44" s="1">
        <v>308</v>
      </c>
      <c r="P44" s="1">
        <v>565</v>
      </c>
      <c r="Q44" s="1">
        <v>257</v>
      </c>
      <c r="R44" s="1">
        <f t="shared" si="0"/>
        <v>308</v>
      </c>
      <c r="S44" s="1">
        <f t="shared" si="1"/>
        <v>565</v>
      </c>
    </row>
    <row r="45" spans="1:19" x14ac:dyDescent="0.3">
      <c r="A45" s="2" t="s">
        <v>103</v>
      </c>
      <c r="B45" s="13">
        <v>44543</v>
      </c>
      <c r="C45">
        <v>13</v>
      </c>
      <c r="D45" t="s">
        <v>20</v>
      </c>
      <c r="E45">
        <v>2021</v>
      </c>
      <c r="F45">
        <v>44</v>
      </c>
      <c r="G45" s="3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10" t="s">
        <v>44</v>
      </c>
      <c r="N45">
        <v>1</v>
      </c>
      <c r="O45" s="1">
        <v>1252</v>
      </c>
      <c r="P45" s="1">
        <v>2295</v>
      </c>
      <c r="Q45" s="1">
        <v>1043</v>
      </c>
      <c r="R45" s="1">
        <f t="shared" si="0"/>
        <v>1252</v>
      </c>
      <c r="S45" s="1">
        <f t="shared" si="1"/>
        <v>2295</v>
      </c>
    </row>
    <row r="46" spans="1:19" x14ac:dyDescent="0.3">
      <c r="A46" s="2" t="s">
        <v>104</v>
      </c>
      <c r="B46" s="13">
        <v>44543</v>
      </c>
      <c r="C46">
        <v>13</v>
      </c>
      <c r="D46" t="s">
        <v>20</v>
      </c>
      <c r="E46">
        <v>2021</v>
      </c>
      <c r="F46">
        <v>49</v>
      </c>
      <c r="G46" s="3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10" t="s">
        <v>44</v>
      </c>
      <c r="N46">
        <v>1</v>
      </c>
      <c r="O46" s="1">
        <v>1252</v>
      </c>
      <c r="P46" s="1">
        <v>2295</v>
      </c>
      <c r="Q46" s="1">
        <v>1043</v>
      </c>
      <c r="R46" s="1">
        <f t="shared" si="0"/>
        <v>1252</v>
      </c>
      <c r="S46" s="1">
        <f t="shared" si="1"/>
        <v>2295</v>
      </c>
    </row>
    <row r="47" spans="1:19" x14ac:dyDescent="0.3">
      <c r="A47" s="2" t="s">
        <v>105</v>
      </c>
      <c r="B47" s="13">
        <v>44544</v>
      </c>
      <c r="C47">
        <v>14</v>
      </c>
      <c r="D47" t="s">
        <v>20</v>
      </c>
      <c r="E47">
        <v>2021</v>
      </c>
      <c r="F47">
        <v>30</v>
      </c>
      <c r="G47" s="3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10" t="s">
        <v>55</v>
      </c>
      <c r="N47">
        <v>2</v>
      </c>
      <c r="O47" s="1">
        <v>1266</v>
      </c>
      <c r="P47" s="1">
        <v>2320</v>
      </c>
      <c r="Q47" s="1">
        <v>2108</v>
      </c>
      <c r="R47" s="1">
        <f t="shared" si="0"/>
        <v>2532</v>
      </c>
      <c r="S47" s="1">
        <f t="shared" si="1"/>
        <v>4640</v>
      </c>
    </row>
    <row r="48" spans="1:19" x14ac:dyDescent="0.3">
      <c r="A48" s="2" t="s">
        <v>106</v>
      </c>
      <c r="B48" s="13">
        <v>44544</v>
      </c>
      <c r="C48">
        <v>14</v>
      </c>
      <c r="D48" t="s">
        <v>20</v>
      </c>
      <c r="E48">
        <v>2021</v>
      </c>
      <c r="F48">
        <v>32</v>
      </c>
      <c r="G48" s="3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10" t="s">
        <v>27</v>
      </c>
      <c r="N48">
        <v>1</v>
      </c>
      <c r="O48" s="1">
        <v>1252</v>
      </c>
      <c r="P48" s="1">
        <v>2295</v>
      </c>
      <c r="Q48" s="1">
        <v>1043</v>
      </c>
      <c r="R48" s="1">
        <f t="shared" si="0"/>
        <v>1252</v>
      </c>
      <c r="S48" s="1">
        <f t="shared" si="1"/>
        <v>2295</v>
      </c>
    </row>
    <row r="49" spans="1:19" x14ac:dyDescent="0.3">
      <c r="A49" s="2" t="s">
        <v>107</v>
      </c>
      <c r="B49" s="13">
        <v>44544</v>
      </c>
      <c r="C49">
        <v>14</v>
      </c>
      <c r="D49" t="s">
        <v>20</v>
      </c>
      <c r="E49">
        <v>2021</v>
      </c>
      <c r="F49">
        <v>32</v>
      </c>
      <c r="G49" s="3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10" t="s">
        <v>34</v>
      </c>
      <c r="N49">
        <v>1</v>
      </c>
      <c r="O49" s="1">
        <v>420</v>
      </c>
      <c r="P49" s="1">
        <v>769</v>
      </c>
      <c r="Q49" s="1">
        <v>349</v>
      </c>
      <c r="R49" s="1">
        <f t="shared" si="0"/>
        <v>420</v>
      </c>
      <c r="S49" s="1">
        <f t="shared" si="1"/>
        <v>769</v>
      </c>
    </row>
    <row r="50" spans="1:19" x14ac:dyDescent="0.3">
      <c r="A50" s="2" t="s">
        <v>108</v>
      </c>
      <c r="B50" s="13">
        <v>44545</v>
      </c>
      <c r="C50">
        <v>15</v>
      </c>
      <c r="D50" t="s">
        <v>20</v>
      </c>
      <c r="E50">
        <v>2021</v>
      </c>
      <c r="F50">
        <v>29</v>
      </c>
      <c r="G50" s="3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10" t="s">
        <v>31</v>
      </c>
      <c r="N50">
        <v>1</v>
      </c>
      <c r="O50" s="1">
        <v>1266</v>
      </c>
      <c r="P50" s="1">
        <v>2320</v>
      </c>
      <c r="Q50" s="1">
        <v>1054</v>
      </c>
      <c r="R50" s="1">
        <f t="shared" si="0"/>
        <v>1266</v>
      </c>
      <c r="S50" s="1">
        <f t="shared" si="1"/>
        <v>2320</v>
      </c>
    </row>
    <row r="51" spans="1:19" x14ac:dyDescent="0.3">
      <c r="A51" s="2" t="s">
        <v>109</v>
      </c>
      <c r="B51" s="13">
        <v>44546</v>
      </c>
      <c r="C51">
        <v>16</v>
      </c>
      <c r="D51" t="s">
        <v>20</v>
      </c>
      <c r="E51">
        <v>2021</v>
      </c>
      <c r="F51">
        <v>33</v>
      </c>
      <c r="G51" s="3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10" t="s">
        <v>44</v>
      </c>
      <c r="N51">
        <v>2</v>
      </c>
      <c r="O51" s="1">
        <v>1252</v>
      </c>
      <c r="P51" s="1">
        <v>2295</v>
      </c>
      <c r="Q51" s="1">
        <v>2086</v>
      </c>
      <c r="R51" s="1">
        <f t="shared" si="0"/>
        <v>2504</v>
      </c>
      <c r="S51" s="1">
        <f t="shared" si="1"/>
        <v>4590</v>
      </c>
    </row>
    <row r="52" spans="1:19" x14ac:dyDescent="0.3">
      <c r="A52" s="2" t="s">
        <v>110</v>
      </c>
      <c r="B52" s="13">
        <v>44546</v>
      </c>
      <c r="C52">
        <v>16</v>
      </c>
      <c r="D52" t="s">
        <v>20</v>
      </c>
      <c r="E52">
        <v>2021</v>
      </c>
      <c r="F52">
        <v>38</v>
      </c>
      <c r="G52" s="3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10" t="s">
        <v>44</v>
      </c>
      <c r="N52">
        <v>2</v>
      </c>
      <c r="O52" s="1">
        <v>1252</v>
      </c>
      <c r="P52" s="1">
        <v>2295</v>
      </c>
      <c r="Q52" s="1">
        <v>2086</v>
      </c>
      <c r="R52" s="1">
        <f t="shared" si="0"/>
        <v>2504</v>
      </c>
      <c r="S52" s="1">
        <f t="shared" si="1"/>
        <v>4590</v>
      </c>
    </row>
    <row r="53" spans="1:19" x14ac:dyDescent="0.3">
      <c r="A53" s="2" t="s">
        <v>111</v>
      </c>
      <c r="B53" s="13">
        <v>44546</v>
      </c>
      <c r="C53">
        <v>16</v>
      </c>
      <c r="D53" t="s">
        <v>20</v>
      </c>
      <c r="E53">
        <v>2021</v>
      </c>
      <c r="F53">
        <v>27</v>
      </c>
      <c r="G53" s="3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10" t="s">
        <v>113</v>
      </c>
      <c r="N53">
        <v>1</v>
      </c>
      <c r="O53" s="1">
        <v>1266</v>
      </c>
      <c r="P53" s="1">
        <v>2320</v>
      </c>
      <c r="Q53" s="1">
        <v>1054</v>
      </c>
      <c r="R53" s="1">
        <f t="shared" si="0"/>
        <v>1266</v>
      </c>
      <c r="S53" s="1">
        <f t="shared" si="1"/>
        <v>2320</v>
      </c>
    </row>
    <row r="54" spans="1:19" x14ac:dyDescent="0.3">
      <c r="A54" s="2" t="s">
        <v>114</v>
      </c>
      <c r="B54" s="13">
        <v>44547</v>
      </c>
      <c r="C54">
        <v>17</v>
      </c>
      <c r="D54" t="s">
        <v>20</v>
      </c>
      <c r="E54">
        <v>2021</v>
      </c>
      <c r="F54">
        <v>37</v>
      </c>
      <c r="G54" s="3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10" t="s">
        <v>55</v>
      </c>
      <c r="N54">
        <v>2</v>
      </c>
      <c r="O54" s="1">
        <v>1266</v>
      </c>
      <c r="P54" s="1">
        <v>2320</v>
      </c>
      <c r="Q54" s="1">
        <v>2108</v>
      </c>
      <c r="R54" s="1">
        <f t="shared" si="0"/>
        <v>2532</v>
      </c>
      <c r="S54" s="1">
        <f t="shared" si="1"/>
        <v>4640</v>
      </c>
    </row>
    <row r="55" spans="1:19" x14ac:dyDescent="0.3">
      <c r="A55" s="2" t="s">
        <v>115</v>
      </c>
      <c r="B55" s="13">
        <v>44547</v>
      </c>
      <c r="C55">
        <v>17</v>
      </c>
      <c r="D55" t="s">
        <v>20</v>
      </c>
      <c r="E55">
        <v>2021</v>
      </c>
      <c r="F55">
        <v>31</v>
      </c>
      <c r="G55" s="3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10" t="s">
        <v>39</v>
      </c>
      <c r="N55">
        <v>1</v>
      </c>
      <c r="O55" s="1">
        <v>420</v>
      </c>
      <c r="P55" s="1">
        <v>769</v>
      </c>
      <c r="Q55" s="1">
        <v>349</v>
      </c>
      <c r="R55" s="1">
        <f t="shared" si="0"/>
        <v>420</v>
      </c>
      <c r="S55" s="1">
        <f t="shared" si="1"/>
        <v>769</v>
      </c>
    </row>
    <row r="56" spans="1:19" x14ac:dyDescent="0.3">
      <c r="A56" s="2" t="s">
        <v>116</v>
      </c>
      <c r="B56" s="13">
        <v>44547</v>
      </c>
      <c r="C56">
        <v>17</v>
      </c>
      <c r="D56" t="s">
        <v>20</v>
      </c>
      <c r="E56">
        <v>2021</v>
      </c>
      <c r="F56">
        <v>42</v>
      </c>
      <c r="G56" s="3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10" t="s">
        <v>113</v>
      </c>
      <c r="N56">
        <v>1</v>
      </c>
      <c r="O56" s="1">
        <v>1266</v>
      </c>
      <c r="P56" s="1">
        <v>2320</v>
      </c>
      <c r="Q56" s="1">
        <v>1054</v>
      </c>
      <c r="R56" s="1">
        <f t="shared" si="0"/>
        <v>1266</v>
      </c>
      <c r="S56" s="1">
        <f t="shared" si="1"/>
        <v>2320</v>
      </c>
    </row>
    <row r="57" spans="1:19" x14ac:dyDescent="0.3">
      <c r="A57" s="2" t="s">
        <v>117</v>
      </c>
      <c r="B57" s="13">
        <v>44548</v>
      </c>
      <c r="C57">
        <v>18</v>
      </c>
      <c r="D57" t="s">
        <v>20</v>
      </c>
      <c r="E57">
        <v>2021</v>
      </c>
      <c r="F57">
        <v>35</v>
      </c>
      <c r="G57" s="3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10" t="s">
        <v>69</v>
      </c>
      <c r="N57">
        <v>4</v>
      </c>
      <c r="O57" s="1">
        <v>308</v>
      </c>
      <c r="P57" s="1">
        <v>565</v>
      </c>
      <c r="Q57" s="1">
        <v>1028</v>
      </c>
      <c r="R57" s="1">
        <f t="shared" si="0"/>
        <v>1232</v>
      </c>
      <c r="S57" s="1">
        <f t="shared" si="1"/>
        <v>2260</v>
      </c>
    </row>
    <row r="58" spans="1:19" x14ac:dyDescent="0.3">
      <c r="A58" s="2" t="s">
        <v>118</v>
      </c>
      <c r="B58" s="13">
        <v>44548</v>
      </c>
      <c r="C58">
        <v>18</v>
      </c>
      <c r="D58" t="s">
        <v>20</v>
      </c>
      <c r="E58">
        <v>2021</v>
      </c>
      <c r="F58">
        <v>38</v>
      </c>
      <c r="G58" s="3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10" t="s">
        <v>113</v>
      </c>
      <c r="N58">
        <v>4</v>
      </c>
      <c r="O58" s="1">
        <v>1266</v>
      </c>
      <c r="P58" s="1">
        <v>2320</v>
      </c>
      <c r="Q58" s="1">
        <v>4216</v>
      </c>
      <c r="R58" s="1">
        <f t="shared" si="0"/>
        <v>5064</v>
      </c>
      <c r="S58" s="1">
        <f t="shared" si="1"/>
        <v>9280</v>
      </c>
    </row>
    <row r="59" spans="1:19" x14ac:dyDescent="0.3">
      <c r="A59" s="2" t="s">
        <v>119</v>
      </c>
      <c r="B59" s="13">
        <v>44548</v>
      </c>
      <c r="C59">
        <v>18</v>
      </c>
      <c r="D59" t="s">
        <v>20</v>
      </c>
      <c r="E59">
        <v>2021</v>
      </c>
      <c r="F59">
        <v>24</v>
      </c>
      <c r="G59" s="3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10" t="s">
        <v>55</v>
      </c>
      <c r="N59">
        <v>3</v>
      </c>
      <c r="O59" s="1">
        <v>1266</v>
      </c>
      <c r="P59" s="1">
        <v>2320</v>
      </c>
      <c r="Q59" s="1">
        <v>3162</v>
      </c>
      <c r="R59" s="1">
        <f t="shared" si="0"/>
        <v>3798</v>
      </c>
      <c r="S59" s="1">
        <f t="shared" si="1"/>
        <v>6960</v>
      </c>
    </row>
    <row r="60" spans="1:19" x14ac:dyDescent="0.3">
      <c r="A60" s="2" t="s">
        <v>121</v>
      </c>
      <c r="B60" s="13">
        <v>44548</v>
      </c>
      <c r="C60">
        <v>18</v>
      </c>
      <c r="D60" t="s">
        <v>20</v>
      </c>
      <c r="E60">
        <v>2021</v>
      </c>
      <c r="F60">
        <v>26</v>
      </c>
      <c r="G60" s="3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10" t="s">
        <v>39</v>
      </c>
      <c r="N60">
        <v>3</v>
      </c>
      <c r="O60" s="1">
        <v>420</v>
      </c>
      <c r="P60" s="1">
        <v>769</v>
      </c>
      <c r="Q60" s="1">
        <v>1047</v>
      </c>
      <c r="R60" s="1">
        <f t="shared" si="0"/>
        <v>1260</v>
      </c>
      <c r="S60" s="1">
        <f t="shared" si="1"/>
        <v>2307</v>
      </c>
    </row>
    <row r="61" spans="1:19" x14ac:dyDescent="0.3">
      <c r="A61" s="2" t="s">
        <v>122</v>
      </c>
      <c r="B61" s="13">
        <v>44548</v>
      </c>
      <c r="C61">
        <v>18</v>
      </c>
      <c r="D61" t="s">
        <v>20</v>
      </c>
      <c r="E61">
        <v>2021</v>
      </c>
      <c r="F61">
        <v>39</v>
      </c>
      <c r="G61" s="3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10" t="s">
        <v>62</v>
      </c>
      <c r="N61">
        <v>3</v>
      </c>
      <c r="O61" s="1">
        <v>1252</v>
      </c>
      <c r="P61" s="1">
        <v>2295</v>
      </c>
      <c r="Q61" s="1">
        <v>3129</v>
      </c>
      <c r="R61" s="1">
        <f t="shared" si="0"/>
        <v>3756</v>
      </c>
      <c r="S61" s="1">
        <f t="shared" si="1"/>
        <v>6885</v>
      </c>
    </row>
    <row r="62" spans="1:19" x14ac:dyDescent="0.3">
      <c r="A62" s="2" t="s">
        <v>123</v>
      </c>
      <c r="B62" s="13">
        <v>44548</v>
      </c>
      <c r="C62">
        <v>18</v>
      </c>
      <c r="D62" t="s">
        <v>20</v>
      </c>
      <c r="E62">
        <v>2021</v>
      </c>
      <c r="F62">
        <v>26</v>
      </c>
      <c r="G62" s="3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10" t="s">
        <v>27</v>
      </c>
      <c r="N62">
        <v>1</v>
      </c>
      <c r="O62" s="1">
        <v>1252</v>
      </c>
      <c r="P62" s="1">
        <v>2295</v>
      </c>
      <c r="Q62" s="1">
        <v>1043</v>
      </c>
      <c r="R62" s="1">
        <f t="shared" si="0"/>
        <v>1252</v>
      </c>
      <c r="S62" s="1">
        <f t="shared" si="1"/>
        <v>2295</v>
      </c>
    </row>
    <row r="63" spans="1:19" x14ac:dyDescent="0.3">
      <c r="A63" s="2" t="s">
        <v>124</v>
      </c>
      <c r="B63" s="13">
        <v>44548</v>
      </c>
      <c r="C63">
        <v>18</v>
      </c>
      <c r="D63" t="s">
        <v>20</v>
      </c>
      <c r="E63">
        <v>2021</v>
      </c>
      <c r="F63">
        <v>36</v>
      </c>
      <c r="G63" s="3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10" t="s">
        <v>55</v>
      </c>
      <c r="N63">
        <v>1</v>
      </c>
      <c r="O63" s="1">
        <v>1266</v>
      </c>
      <c r="P63" s="1">
        <v>2320</v>
      </c>
      <c r="Q63" s="1">
        <v>1054</v>
      </c>
      <c r="R63" s="1">
        <f t="shared" si="0"/>
        <v>1266</v>
      </c>
      <c r="S63" s="1">
        <f t="shared" si="1"/>
        <v>2320</v>
      </c>
    </row>
    <row r="64" spans="1:19" x14ac:dyDescent="0.3">
      <c r="A64" s="2" t="s">
        <v>125</v>
      </c>
      <c r="B64" s="13">
        <v>44549</v>
      </c>
      <c r="C64">
        <v>19</v>
      </c>
      <c r="D64" t="s">
        <v>20</v>
      </c>
      <c r="E64">
        <v>2021</v>
      </c>
      <c r="F64">
        <v>17</v>
      </c>
      <c r="G64" s="3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10" t="s">
        <v>113</v>
      </c>
      <c r="N64">
        <v>4</v>
      </c>
      <c r="O64" s="1">
        <v>1266</v>
      </c>
      <c r="P64" s="1">
        <v>2320</v>
      </c>
      <c r="Q64" s="1">
        <v>4216</v>
      </c>
      <c r="R64" s="1">
        <f t="shared" si="0"/>
        <v>5064</v>
      </c>
      <c r="S64" s="1">
        <f t="shared" si="1"/>
        <v>9280</v>
      </c>
    </row>
    <row r="65" spans="1:19" x14ac:dyDescent="0.3">
      <c r="A65" s="2" t="s">
        <v>127</v>
      </c>
      <c r="B65" s="13">
        <v>44549</v>
      </c>
      <c r="C65">
        <v>19</v>
      </c>
      <c r="D65" t="s">
        <v>20</v>
      </c>
      <c r="E65">
        <v>2021</v>
      </c>
      <c r="F65">
        <v>19</v>
      </c>
      <c r="G65" s="3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10" t="s">
        <v>128</v>
      </c>
      <c r="N65">
        <v>4</v>
      </c>
      <c r="O65" s="1">
        <v>295</v>
      </c>
      <c r="P65" s="1">
        <v>540</v>
      </c>
      <c r="Q65" s="1">
        <v>980</v>
      </c>
      <c r="R65" s="1">
        <f t="shared" si="0"/>
        <v>1180</v>
      </c>
      <c r="S65" s="1">
        <f t="shared" si="1"/>
        <v>2160</v>
      </c>
    </row>
    <row r="66" spans="1:19" x14ac:dyDescent="0.3">
      <c r="A66" s="2" t="s">
        <v>129</v>
      </c>
      <c r="B66" s="13">
        <v>44549</v>
      </c>
      <c r="C66">
        <v>19</v>
      </c>
      <c r="D66" t="s">
        <v>20</v>
      </c>
      <c r="E66">
        <v>2021</v>
      </c>
      <c r="F66">
        <v>25</v>
      </c>
      <c r="G66" s="3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10" t="s">
        <v>44</v>
      </c>
      <c r="N66">
        <v>4</v>
      </c>
      <c r="O66" s="1">
        <v>1252</v>
      </c>
      <c r="P66" s="1">
        <v>2295</v>
      </c>
      <c r="Q66" s="1">
        <v>4172</v>
      </c>
      <c r="R66" s="1">
        <f t="shared" si="0"/>
        <v>5008</v>
      </c>
      <c r="S66" s="1">
        <f t="shared" si="1"/>
        <v>9180</v>
      </c>
    </row>
    <row r="67" spans="1:19" x14ac:dyDescent="0.3">
      <c r="A67" s="2" t="s">
        <v>130</v>
      </c>
      <c r="B67" s="13">
        <v>44549</v>
      </c>
      <c r="C67">
        <v>19</v>
      </c>
      <c r="D67" t="s">
        <v>20</v>
      </c>
      <c r="E67">
        <v>2021</v>
      </c>
      <c r="F67">
        <v>35</v>
      </c>
      <c r="G67" s="3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10" t="s">
        <v>131</v>
      </c>
      <c r="N67">
        <v>4</v>
      </c>
      <c r="O67" s="1">
        <v>1898</v>
      </c>
      <c r="P67" s="1">
        <v>3375</v>
      </c>
      <c r="Q67" s="1">
        <v>5908</v>
      </c>
      <c r="R67" s="1">
        <f t="shared" si="0"/>
        <v>7592</v>
      </c>
      <c r="S67" s="1">
        <f t="shared" si="1"/>
        <v>13500</v>
      </c>
    </row>
    <row r="68" spans="1:19" x14ac:dyDescent="0.3">
      <c r="A68" s="2" t="s">
        <v>132</v>
      </c>
      <c r="B68" s="13">
        <v>44549</v>
      </c>
      <c r="C68">
        <v>19</v>
      </c>
      <c r="D68" t="s">
        <v>20</v>
      </c>
      <c r="E68">
        <v>2021</v>
      </c>
      <c r="F68">
        <v>37</v>
      </c>
      <c r="G68" s="3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10" t="s">
        <v>44</v>
      </c>
      <c r="N68">
        <v>4</v>
      </c>
      <c r="O68" s="1">
        <v>1252</v>
      </c>
      <c r="P68" s="1">
        <v>2295</v>
      </c>
      <c r="Q68" s="1">
        <v>4172</v>
      </c>
      <c r="R68" s="1">
        <f t="shared" ref="R68:R90" si="4">N68*O68</f>
        <v>5008</v>
      </c>
      <c r="S68" s="1">
        <f t="shared" ref="S68:S90" si="5">N68*P68</f>
        <v>9180</v>
      </c>
    </row>
    <row r="69" spans="1:19" x14ac:dyDescent="0.3">
      <c r="A69" s="2" t="s">
        <v>133</v>
      </c>
      <c r="B69" s="13">
        <v>44549</v>
      </c>
      <c r="C69">
        <v>19</v>
      </c>
      <c r="D69" t="s">
        <v>20</v>
      </c>
      <c r="E69">
        <v>2021</v>
      </c>
      <c r="F69">
        <v>39</v>
      </c>
      <c r="G69" s="3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10" t="s">
        <v>27</v>
      </c>
      <c r="N69">
        <v>4</v>
      </c>
      <c r="O69" s="1">
        <v>1252</v>
      </c>
      <c r="P69" s="1">
        <v>2295</v>
      </c>
      <c r="Q69" s="1">
        <v>4172</v>
      </c>
      <c r="R69" s="1">
        <f t="shared" si="4"/>
        <v>5008</v>
      </c>
      <c r="S69" s="1">
        <f t="shared" si="5"/>
        <v>9180</v>
      </c>
    </row>
    <row r="70" spans="1:19" x14ac:dyDescent="0.3">
      <c r="A70" s="2" t="s">
        <v>134</v>
      </c>
      <c r="B70" s="13">
        <v>44549</v>
      </c>
      <c r="C70">
        <v>19</v>
      </c>
      <c r="D70" t="s">
        <v>20</v>
      </c>
      <c r="E70">
        <v>2021</v>
      </c>
      <c r="F70">
        <v>63</v>
      </c>
      <c r="G70" s="3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10" t="s">
        <v>27</v>
      </c>
      <c r="N70">
        <v>4</v>
      </c>
      <c r="O70" s="1">
        <v>1252</v>
      </c>
      <c r="P70" s="1">
        <v>2295</v>
      </c>
      <c r="Q70" s="1">
        <v>4172</v>
      </c>
      <c r="R70" s="1">
        <f t="shared" si="4"/>
        <v>5008</v>
      </c>
      <c r="S70" s="1">
        <f t="shared" si="5"/>
        <v>9180</v>
      </c>
    </row>
    <row r="71" spans="1:19" x14ac:dyDescent="0.3">
      <c r="A71" s="2" t="s">
        <v>135</v>
      </c>
      <c r="B71" s="13">
        <v>44549</v>
      </c>
      <c r="C71">
        <v>19</v>
      </c>
      <c r="D71" t="s">
        <v>20</v>
      </c>
      <c r="E71">
        <v>2021</v>
      </c>
      <c r="F71">
        <v>18</v>
      </c>
      <c r="G71" s="3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10" t="s">
        <v>84</v>
      </c>
      <c r="N71">
        <v>2</v>
      </c>
      <c r="O71" s="1">
        <v>295</v>
      </c>
      <c r="P71" s="1">
        <v>540</v>
      </c>
      <c r="Q71" s="1">
        <v>490</v>
      </c>
      <c r="R71" s="1">
        <f t="shared" si="4"/>
        <v>590</v>
      </c>
      <c r="S71" s="1">
        <f t="shared" si="5"/>
        <v>1080</v>
      </c>
    </row>
    <row r="72" spans="1:19" x14ac:dyDescent="0.3">
      <c r="A72" s="2" t="s">
        <v>137</v>
      </c>
      <c r="B72" s="13">
        <v>44549</v>
      </c>
      <c r="C72">
        <v>19</v>
      </c>
      <c r="D72" t="s">
        <v>20</v>
      </c>
      <c r="E72">
        <v>2021</v>
      </c>
      <c r="F72">
        <v>56</v>
      </c>
      <c r="G72" s="3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10" t="s">
        <v>27</v>
      </c>
      <c r="N72">
        <v>2</v>
      </c>
      <c r="O72" s="1">
        <v>1252</v>
      </c>
      <c r="P72" s="1">
        <v>2295</v>
      </c>
      <c r="Q72" s="1">
        <v>2086</v>
      </c>
      <c r="R72" s="1">
        <f t="shared" si="4"/>
        <v>2504</v>
      </c>
      <c r="S72" s="1">
        <f t="shared" si="5"/>
        <v>4590</v>
      </c>
    </row>
    <row r="73" spans="1:19" x14ac:dyDescent="0.3">
      <c r="A73" s="2" t="s">
        <v>139</v>
      </c>
      <c r="B73" s="13">
        <v>44549</v>
      </c>
      <c r="C73">
        <v>19</v>
      </c>
      <c r="D73" t="s">
        <v>20</v>
      </c>
      <c r="E73">
        <v>2021</v>
      </c>
      <c r="F73">
        <v>39</v>
      </c>
      <c r="G73" s="3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10" t="s">
        <v>55</v>
      </c>
      <c r="N73">
        <v>1</v>
      </c>
      <c r="O73" s="1">
        <v>1266</v>
      </c>
      <c r="P73" s="1">
        <v>2320</v>
      </c>
      <c r="Q73" s="1">
        <v>1054</v>
      </c>
      <c r="R73" s="1">
        <f t="shared" si="4"/>
        <v>1266</v>
      </c>
      <c r="S73" s="1">
        <f t="shared" si="5"/>
        <v>2320</v>
      </c>
    </row>
    <row r="74" spans="1:19" x14ac:dyDescent="0.3">
      <c r="A74" s="2" t="s">
        <v>140</v>
      </c>
      <c r="B74" s="13">
        <v>44550</v>
      </c>
      <c r="C74">
        <v>20</v>
      </c>
      <c r="D74" t="s">
        <v>20</v>
      </c>
      <c r="E74">
        <v>2021</v>
      </c>
      <c r="F74">
        <v>33</v>
      </c>
      <c r="G74" s="3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10" t="s">
        <v>77</v>
      </c>
      <c r="N74">
        <v>4</v>
      </c>
      <c r="O74" s="1">
        <v>1898</v>
      </c>
      <c r="P74" s="1">
        <v>3375</v>
      </c>
      <c r="Q74" s="1">
        <v>5908</v>
      </c>
      <c r="R74" s="1">
        <f t="shared" si="4"/>
        <v>7592</v>
      </c>
      <c r="S74" s="1">
        <f t="shared" si="5"/>
        <v>13500</v>
      </c>
    </row>
    <row r="75" spans="1:19" x14ac:dyDescent="0.3">
      <c r="A75" s="2" t="s">
        <v>141</v>
      </c>
      <c r="B75" s="13">
        <v>44550</v>
      </c>
      <c r="C75">
        <v>20</v>
      </c>
      <c r="D75" t="s">
        <v>20</v>
      </c>
      <c r="E75">
        <v>2021</v>
      </c>
      <c r="F75">
        <v>57</v>
      </c>
      <c r="G75" s="3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10" t="s">
        <v>27</v>
      </c>
      <c r="N75">
        <v>4</v>
      </c>
      <c r="O75" s="1">
        <v>1252</v>
      </c>
      <c r="P75" s="1">
        <v>2295</v>
      </c>
      <c r="Q75" s="1">
        <v>4172</v>
      </c>
      <c r="R75" s="1">
        <f t="shared" si="4"/>
        <v>5008</v>
      </c>
      <c r="S75" s="1">
        <f t="shared" si="5"/>
        <v>9180</v>
      </c>
    </row>
    <row r="76" spans="1:19" x14ac:dyDescent="0.3">
      <c r="A76" s="2" t="s">
        <v>142</v>
      </c>
      <c r="B76" s="13">
        <v>44550</v>
      </c>
      <c r="C76">
        <v>20</v>
      </c>
      <c r="D76" t="s">
        <v>20</v>
      </c>
      <c r="E76">
        <v>2021</v>
      </c>
      <c r="F76">
        <v>29</v>
      </c>
      <c r="G76" s="3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10" t="s">
        <v>143</v>
      </c>
      <c r="N76">
        <v>3</v>
      </c>
      <c r="O76" s="1">
        <v>295</v>
      </c>
      <c r="P76" s="1">
        <v>540</v>
      </c>
      <c r="Q76" s="1">
        <v>735</v>
      </c>
      <c r="R76" s="1">
        <f t="shared" si="4"/>
        <v>885</v>
      </c>
      <c r="S76" s="1">
        <f t="shared" si="5"/>
        <v>1620</v>
      </c>
    </row>
    <row r="77" spans="1:19" x14ac:dyDescent="0.3">
      <c r="A77" s="2" t="s">
        <v>144</v>
      </c>
      <c r="B77" s="13">
        <v>44550</v>
      </c>
      <c r="C77">
        <v>20</v>
      </c>
      <c r="D77" t="s">
        <v>20</v>
      </c>
      <c r="E77">
        <v>2021</v>
      </c>
      <c r="F77">
        <v>35</v>
      </c>
      <c r="G77" s="3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10" t="s">
        <v>55</v>
      </c>
      <c r="N77">
        <v>1</v>
      </c>
      <c r="O77" s="1">
        <v>1266</v>
      </c>
      <c r="P77" s="1">
        <v>2320</v>
      </c>
      <c r="Q77" s="1">
        <v>1054</v>
      </c>
      <c r="R77" s="1">
        <f t="shared" si="4"/>
        <v>1266</v>
      </c>
      <c r="S77" s="1">
        <f t="shared" si="5"/>
        <v>2320</v>
      </c>
    </row>
    <row r="78" spans="1:19" x14ac:dyDescent="0.3">
      <c r="A78" s="2" t="s">
        <v>145</v>
      </c>
      <c r="B78" s="13">
        <v>44550</v>
      </c>
      <c r="C78">
        <v>20</v>
      </c>
      <c r="D78" t="s">
        <v>20</v>
      </c>
      <c r="E78">
        <v>2021</v>
      </c>
      <c r="F78">
        <v>35</v>
      </c>
      <c r="G78" s="3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10" t="s">
        <v>55</v>
      </c>
      <c r="N78">
        <v>1</v>
      </c>
      <c r="O78" s="1">
        <v>1266</v>
      </c>
      <c r="P78" s="1">
        <v>2320</v>
      </c>
      <c r="Q78" s="1">
        <v>1054</v>
      </c>
      <c r="R78" s="1">
        <f t="shared" si="4"/>
        <v>1266</v>
      </c>
      <c r="S78" s="1">
        <f t="shared" si="5"/>
        <v>2320</v>
      </c>
    </row>
    <row r="79" spans="1:19" x14ac:dyDescent="0.3">
      <c r="A79" s="2" t="s">
        <v>146</v>
      </c>
      <c r="B79" s="13">
        <v>44551</v>
      </c>
      <c r="C79">
        <v>21</v>
      </c>
      <c r="D79" t="s">
        <v>20</v>
      </c>
      <c r="E79">
        <v>2021</v>
      </c>
      <c r="F79">
        <v>26</v>
      </c>
      <c r="G79" s="3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10" t="s">
        <v>55</v>
      </c>
      <c r="N79">
        <v>3</v>
      </c>
      <c r="O79" s="1">
        <v>1266</v>
      </c>
      <c r="P79" s="1">
        <v>2320</v>
      </c>
      <c r="Q79" s="1">
        <v>3162</v>
      </c>
      <c r="R79" s="1">
        <f t="shared" si="4"/>
        <v>3798</v>
      </c>
      <c r="S79" s="1">
        <f t="shared" si="5"/>
        <v>6960</v>
      </c>
    </row>
    <row r="80" spans="1:19" x14ac:dyDescent="0.3">
      <c r="A80" s="2" t="s">
        <v>148</v>
      </c>
      <c r="B80" s="13">
        <v>44551</v>
      </c>
      <c r="C80">
        <v>21</v>
      </c>
      <c r="D80" t="s">
        <v>20</v>
      </c>
      <c r="E80">
        <v>2021</v>
      </c>
      <c r="F80">
        <v>23</v>
      </c>
      <c r="G80" s="3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10" t="s">
        <v>34</v>
      </c>
      <c r="N80">
        <v>2</v>
      </c>
      <c r="O80" s="1">
        <v>420</v>
      </c>
      <c r="P80" s="1">
        <v>769</v>
      </c>
      <c r="Q80" s="1">
        <v>698</v>
      </c>
      <c r="R80" s="1">
        <f t="shared" si="4"/>
        <v>840</v>
      </c>
      <c r="S80" s="1">
        <f t="shared" si="5"/>
        <v>1538</v>
      </c>
    </row>
    <row r="81" spans="1:19" x14ac:dyDescent="0.3">
      <c r="A81" s="2" t="s">
        <v>149</v>
      </c>
      <c r="B81" s="13">
        <v>44552</v>
      </c>
      <c r="C81">
        <v>22</v>
      </c>
      <c r="D81" t="s">
        <v>20</v>
      </c>
      <c r="E81">
        <v>2021</v>
      </c>
      <c r="F81">
        <v>30</v>
      </c>
      <c r="G81" s="3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10" t="s">
        <v>55</v>
      </c>
      <c r="N81">
        <v>3</v>
      </c>
      <c r="O81" s="1">
        <v>1266</v>
      </c>
      <c r="P81" s="1">
        <v>2320</v>
      </c>
      <c r="Q81" s="1">
        <v>3162</v>
      </c>
      <c r="R81" s="1">
        <f t="shared" si="4"/>
        <v>3798</v>
      </c>
      <c r="S81" s="1">
        <f t="shared" si="5"/>
        <v>6960</v>
      </c>
    </row>
    <row r="82" spans="1:19" x14ac:dyDescent="0.3">
      <c r="A82" s="2" t="s">
        <v>150</v>
      </c>
      <c r="B82" s="13">
        <v>44552</v>
      </c>
      <c r="C82">
        <v>22</v>
      </c>
      <c r="D82" t="s">
        <v>20</v>
      </c>
      <c r="E82">
        <v>2021</v>
      </c>
      <c r="F82">
        <v>41</v>
      </c>
      <c r="G82" s="3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10" t="s">
        <v>62</v>
      </c>
      <c r="N82">
        <v>3</v>
      </c>
      <c r="O82" s="1">
        <v>1252</v>
      </c>
      <c r="P82" s="1">
        <v>2295</v>
      </c>
      <c r="Q82" s="1">
        <v>3129</v>
      </c>
      <c r="R82" s="1">
        <f t="shared" si="4"/>
        <v>3756</v>
      </c>
      <c r="S82" s="1">
        <f t="shared" si="5"/>
        <v>6885</v>
      </c>
    </row>
    <row r="83" spans="1:19" x14ac:dyDescent="0.3">
      <c r="A83" s="2" t="s">
        <v>151</v>
      </c>
      <c r="B83" s="13">
        <v>44552</v>
      </c>
      <c r="C83">
        <v>22</v>
      </c>
      <c r="D83" t="s">
        <v>20</v>
      </c>
      <c r="E83">
        <v>2021</v>
      </c>
      <c r="F83">
        <v>19</v>
      </c>
      <c r="G83" s="3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10" t="s">
        <v>69</v>
      </c>
      <c r="N83">
        <v>1</v>
      </c>
      <c r="O83" s="1">
        <v>308</v>
      </c>
      <c r="P83" s="1">
        <v>565</v>
      </c>
      <c r="Q83" s="1">
        <v>257</v>
      </c>
      <c r="R83" s="1">
        <f t="shared" si="4"/>
        <v>308</v>
      </c>
      <c r="S83" s="1">
        <f t="shared" si="5"/>
        <v>565</v>
      </c>
    </row>
    <row r="84" spans="1:19" x14ac:dyDescent="0.3">
      <c r="A84" s="2" t="s">
        <v>152</v>
      </c>
      <c r="B84" s="13">
        <v>44552</v>
      </c>
      <c r="C84">
        <v>22</v>
      </c>
      <c r="D84" t="s">
        <v>20</v>
      </c>
      <c r="E84">
        <v>2021</v>
      </c>
      <c r="F84">
        <v>25</v>
      </c>
      <c r="G84" s="3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10" t="s">
        <v>44</v>
      </c>
      <c r="N84">
        <v>1</v>
      </c>
      <c r="O84" s="1">
        <v>1252</v>
      </c>
      <c r="P84" s="1">
        <v>2295</v>
      </c>
      <c r="Q84" s="1">
        <v>1043</v>
      </c>
      <c r="R84" s="1">
        <f t="shared" si="4"/>
        <v>1252</v>
      </c>
      <c r="S84" s="1">
        <f t="shared" si="5"/>
        <v>2295</v>
      </c>
    </row>
    <row r="85" spans="1:19" x14ac:dyDescent="0.3">
      <c r="A85" s="2" t="s">
        <v>153</v>
      </c>
      <c r="B85" s="13">
        <v>44552</v>
      </c>
      <c r="C85">
        <v>22</v>
      </c>
      <c r="D85" t="s">
        <v>20</v>
      </c>
      <c r="E85">
        <v>2021</v>
      </c>
      <c r="F85">
        <v>27</v>
      </c>
      <c r="G85" s="3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10" t="s">
        <v>27</v>
      </c>
      <c r="N85">
        <v>1</v>
      </c>
      <c r="O85" s="1">
        <v>1252</v>
      </c>
      <c r="P85" s="1">
        <v>2295</v>
      </c>
      <c r="Q85" s="1">
        <v>1043</v>
      </c>
      <c r="R85" s="1">
        <f t="shared" si="4"/>
        <v>1252</v>
      </c>
      <c r="S85" s="1">
        <f t="shared" si="5"/>
        <v>2295</v>
      </c>
    </row>
    <row r="86" spans="1:19" x14ac:dyDescent="0.3">
      <c r="A86" s="2" t="s">
        <v>154</v>
      </c>
      <c r="B86" s="13">
        <v>44552</v>
      </c>
      <c r="C86">
        <v>22</v>
      </c>
      <c r="D86" t="s">
        <v>20</v>
      </c>
      <c r="E86">
        <v>2021</v>
      </c>
      <c r="F86">
        <v>41</v>
      </c>
      <c r="G86" s="3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10" t="s">
        <v>55</v>
      </c>
      <c r="N86">
        <v>1</v>
      </c>
      <c r="O86" s="1">
        <v>1266</v>
      </c>
      <c r="P86" s="1">
        <v>2320</v>
      </c>
      <c r="Q86" s="1">
        <v>1054</v>
      </c>
      <c r="R86" s="1">
        <f t="shared" si="4"/>
        <v>1266</v>
      </c>
      <c r="S86" s="1">
        <f t="shared" si="5"/>
        <v>2320</v>
      </c>
    </row>
    <row r="87" spans="1:19" x14ac:dyDescent="0.3">
      <c r="A87" s="2" t="s">
        <v>155</v>
      </c>
      <c r="B87" s="13">
        <v>44553</v>
      </c>
      <c r="C87">
        <v>23</v>
      </c>
      <c r="D87" t="s">
        <v>20</v>
      </c>
      <c r="E87">
        <v>2021</v>
      </c>
      <c r="F87">
        <v>30</v>
      </c>
      <c r="G87" s="3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10" t="s">
        <v>31</v>
      </c>
      <c r="N87">
        <v>1</v>
      </c>
      <c r="O87" s="1">
        <v>1266</v>
      </c>
      <c r="P87" s="1">
        <v>2320</v>
      </c>
      <c r="Q87" s="1">
        <v>1054</v>
      </c>
      <c r="R87" s="1">
        <f t="shared" si="4"/>
        <v>1266</v>
      </c>
      <c r="S87" s="1">
        <f t="shared" si="5"/>
        <v>2320</v>
      </c>
    </row>
    <row r="88" spans="1:19" x14ac:dyDescent="0.3">
      <c r="A88" s="2" t="s">
        <v>156</v>
      </c>
      <c r="B88" s="13">
        <v>44553</v>
      </c>
      <c r="C88">
        <v>23</v>
      </c>
      <c r="D88" t="s">
        <v>20</v>
      </c>
      <c r="E88">
        <v>2021</v>
      </c>
      <c r="F88">
        <v>31</v>
      </c>
      <c r="G88" s="3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10" t="s">
        <v>62</v>
      </c>
      <c r="N88">
        <v>1</v>
      </c>
      <c r="O88" s="1">
        <v>1252</v>
      </c>
      <c r="P88" s="1">
        <v>2295</v>
      </c>
      <c r="Q88" s="1">
        <v>1043</v>
      </c>
      <c r="R88" s="1">
        <f t="shared" si="4"/>
        <v>1252</v>
      </c>
      <c r="S88" s="1">
        <f t="shared" si="5"/>
        <v>2295</v>
      </c>
    </row>
    <row r="89" spans="1:19" x14ac:dyDescent="0.3">
      <c r="A89" s="2" t="s">
        <v>157</v>
      </c>
      <c r="B89" s="13">
        <v>44553</v>
      </c>
      <c r="C89">
        <v>23</v>
      </c>
      <c r="D89" t="s">
        <v>20</v>
      </c>
      <c r="E89">
        <v>2021</v>
      </c>
      <c r="F89">
        <v>35</v>
      </c>
      <c r="G89" s="3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10" t="s">
        <v>74</v>
      </c>
      <c r="N89">
        <v>1</v>
      </c>
      <c r="O89" s="1">
        <v>295</v>
      </c>
      <c r="P89" s="1">
        <v>540</v>
      </c>
      <c r="Q89" s="1">
        <v>245</v>
      </c>
      <c r="R89" s="1">
        <f t="shared" si="4"/>
        <v>295</v>
      </c>
      <c r="S89" s="1">
        <f t="shared" si="5"/>
        <v>540</v>
      </c>
    </row>
    <row r="90" spans="1:19" x14ac:dyDescent="0.3">
      <c r="A90" s="2" t="s">
        <v>158</v>
      </c>
      <c r="B90" s="13">
        <v>44554</v>
      </c>
      <c r="C90">
        <v>24</v>
      </c>
      <c r="D90" t="s">
        <v>20</v>
      </c>
      <c r="E90">
        <v>2021</v>
      </c>
      <c r="F90">
        <v>38</v>
      </c>
      <c r="G90" s="3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10" t="s">
        <v>62</v>
      </c>
      <c r="N90">
        <v>4</v>
      </c>
      <c r="O90" s="1">
        <v>1252</v>
      </c>
      <c r="P90" s="1">
        <v>2295</v>
      </c>
      <c r="Q90" s="1">
        <v>4172</v>
      </c>
      <c r="R90" s="1">
        <f t="shared" si="4"/>
        <v>5008</v>
      </c>
      <c r="S90" s="1">
        <f t="shared" si="5"/>
        <v>9180</v>
      </c>
    </row>
  </sheetData>
  <phoneticPr fontId="18" type="noConversion"/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9"/>
  <sheetViews>
    <sheetView tabSelected="1" topLeftCell="H1" workbookViewId="0">
      <selection activeCell="K13" sqref="K13"/>
    </sheetView>
  </sheetViews>
  <sheetFormatPr defaultRowHeight="14.4" x14ac:dyDescent="0.3"/>
  <cols>
    <col min="1" max="1" width="10.44140625" customWidth="1"/>
    <col min="2" max="2" width="15.109375" customWidth="1"/>
    <col min="3" max="3" width="10.6640625" style="13" bestFit="1" customWidth="1"/>
    <col min="4" max="4" width="10.6640625" style="13" customWidth="1"/>
    <col min="6" max="6" width="10.109375" bestFit="1" customWidth="1"/>
    <col min="8" max="8" width="13.77734375" customWidth="1"/>
    <col min="9" max="9" width="15.21875" customWidth="1"/>
    <col min="10" max="10" width="16.88671875" customWidth="1"/>
    <col min="11" max="11" width="18.109375" customWidth="1"/>
    <col min="12" max="12" width="15.44140625" customWidth="1"/>
    <col min="13" max="14" width="19.6640625" customWidth="1"/>
    <col min="15" max="15" width="18.109375" customWidth="1"/>
    <col min="16" max="16" width="16.5546875" customWidth="1"/>
    <col min="17" max="19" width="23" customWidth="1"/>
    <col min="20" max="20" width="16" customWidth="1"/>
    <col min="21" max="21" width="12" customWidth="1"/>
    <col min="22" max="22" width="12.44140625" customWidth="1"/>
    <col min="23" max="24" width="9.88671875" bestFit="1" customWidth="1"/>
    <col min="25" max="25" width="10.88671875" bestFit="1" customWidth="1"/>
  </cols>
  <sheetData>
    <row r="1" spans="1:25" s="8" customFormat="1" ht="97.5" customHeight="1" x14ac:dyDescent="0.3">
      <c r="A1" s="52" t="s">
        <v>171</v>
      </c>
      <c r="B1" s="52" t="s">
        <v>0</v>
      </c>
      <c r="C1" s="53" t="s">
        <v>1</v>
      </c>
      <c r="D1" s="53" t="s">
        <v>439</v>
      </c>
      <c r="E1" s="52" t="s">
        <v>2</v>
      </c>
      <c r="F1" s="52" t="s">
        <v>3</v>
      </c>
      <c r="G1" s="52" t="s">
        <v>4</v>
      </c>
      <c r="H1" s="52" t="s">
        <v>349</v>
      </c>
      <c r="I1" s="52" t="s">
        <v>5</v>
      </c>
      <c r="J1" s="54" t="s">
        <v>6</v>
      </c>
      <c r="K1" s="52" t="s">
        <v>7</v>
      </c>
      <c r="L1" s="52" t="s">
        <v>8</v>
      </c>
      <c r="M1" s="52" t="s">
        <v>9</v>
      </c>
      <c r="N1" s="52" t="s">
        <v>260</v>
      </c>
      <c r="O1" s="52" t="s">
        <v>10</v>
      </c>
      <c r="P1" s="52" t="s">
        <v>11</v>
      </c>
      <c r="Q1" s="55" t="s">
        <v>167</v>
      </c>
      <c r="R1" s="55" t="s">
        <v>166</v>
      </c>
      <c r="S1" s="55" t="s">
        <v>159</v>
      </c>
      <c r="T1" s="52" t="s">
        <v>13</v>
      </c>
      <c r="U1" s="52" t="s">
        <v>14</v>
      </c>
      <c r="V1" s="52" t="s">
        <v>15</v>
      </c>
      <c r="W1" s="52" t="s">
        <v>16</v>
      </c>
      <c r="X1" s="52" t="s">
        <v>17</v>
      </c>
      <c r="Y1" s="52" t="s">
        <v>18</v>
      </c>
    </row>
    <row r="2" spans="1:25" x14ac:dyDescent="0.3">
      <c r="A2" s="29" t="str">
        <f>VLOOKUP(B2,Order_Dim!A2:B89,2,1)</f>
        <v>S-101</v>
      </c>
      <c r="B2" s="27" t="s">
        <v>19</v>
      </c>
      <c r="C2" s="28">
        <v>44531</v>
      </c>
      <c r="D2" s="28" t="str">
        <f>VLOOKUP(C2,Date_Dim!A2:B89,2,1)</f>
        <v>20211201</v>
      </c>
      <c r="E2" s="29">
        <v>1</v>
      </c>
      <c r="F2" s="29" t="s">
        <v>20</v>
      </c>
      <c r="G2" s="29">
        <v>2021</v>
      </c>
      <c r="H2" s="29" t="str">
        <f>VLOOKUP(I2,'Customer_Dim'!A2:B89,2,1)</f>
        <v>C-141</v>
      </c>
      <c r="I2" s="29">
        <v>39</v>
      </c>
      <c r="J2" s="29" t="s">
        <v>21</v>
      </c>
      <c r="K2" s="29" t="s">
        <v>168</v>
      </c>
      <c r="L2" s="29" t="s">
        <v>23</v>
      </c>
      <c r="M2" s="29" t="s">
        <v>24</v>
      </c>
      <c r="N2" s="29" t="str">
        <f>VLOOKUP(O1,Product_Dim!A2:B89,2,1)</f>
        <v>P-188</v>
      </c>
      <c r="O2" s="29" t="s">
        <v>25</v>
      </c>
      <c r="P2" s="29" t="s">
        <v>26</v>
      </c>
      <c r="Q2" s="30" t="s">
        <v>160</v>
      </c>
      <c r="R2" s="30" t="s">
        <v>161</v>
      </c>
      <c r="S2" s="30">
        <v>46</v>
      </c>
      <c r="T2" s="29">
        <v>4</v>
      </c>
      <c r="U2" s="31">
        <v>1252</v>
      </c>
      <c r="V2" s="31">
        <v>2295</v>
      </c>
      <c r="W2" s="31">
        <v>4172</v>
      </c>
      <c r="X2" s="31">
        <f t="shared" ref="X2:X33" si="0">T2*U2</f>
        <v>5008</v>
      </c>
      <c r="Y2" s="31">
        <f t="shared" ref="Y2:Y33" si="1">T2*V2</f>
        <v>9180</v>
      </c>
    </row>
    <row r="3" spans="1:25" x14ac:dyDescent="0.3">
      <c r="A3" s="34" t="str">
        <f>VLOOKUP(B3,Order_Dim!A3:B90,2,1)</f>
        <v>S-102</v>
      </c>
      <c r="B3" s="32">
        <v>261696</v>
      </c>
      <c r="C3" s="33">
        <v>44531</v>
      </c>
      <c r="D3" s="28" t="str">
        <f>VLOOKUP(C3,Date_Dim!A3:B90,2,1)</f>
        <v>20211201</v>
      </c>
      <c r="E3" s="34">
        <v>1</v>
      </c>
      <c r="F3" s="34" t="s">
        <v>20</v>
      </c>
      <c r="G3" s="34">
        <v>2021</v>
      </c>
      <c r="H3" s="34" t="str">
        <f>VLOOKUP(I3,'Customer_Dim'!A3:B90,2,1)</f>
        <v>C-188</v>
      </c>
      <c r="I3" s="34">
        <v>44</v>
      </c>
      <c r="J3" s="34" t="s">
        <v>21</v>
      </c>
      <c r="K3" s="34" t="s">
        <v>169</v>
      </c>
      <c r="L3" s="34" t="s">
        <v>29</v>
      </c>
      <c r="M3" s="34" t="s">
        <v>30</v>
      </c>
      <c r="N3" s="34" t="str">
        <f>VLOOKUP(O2,Product_Dim!A3:B90,2,1)</f>
        <v>P-188</v>
      </c>
      <c r="O3" s="34" t="s">
        <v>25</v>
      </c>
      <c r="P3" s="34" t="s">
        <v>26</v>
      </c>
      <c r="Q3" s="35" t="s">
        <v>160</v>
      </c>
      <c r="R3" s="35" t="s">
        <v>162</v>
      </c>
      <c r="S3" s="35">
        <v>42</v>
      </c>
      <c r="T3" s="34">
        <v>1</v>
      </c>
      <c r="U3" s="36">
        <v>1266</v>
      </c>
      <c r="V3" s="36">
        <v>2320</v>
      </c>
      <c r="W3" s="36">
        <v>1054</v>
      </c>
      <c r="X3" s="36">
        <f t="shared" si="0"/>
        <v>1266</v>
      </c>
      <c r="Y3" s="36">
        <f t="shared" si="1"/>
        <v>2320</v>
      </c>
    </row>
    <row r="4" spans="1:25" x14ac:dyDescent="0.3">
      <c r="A4" s="29" t="str">
        <f>VLOOKUP(B4,Order_Dim!A4:B91,2,1)</f>
        <v>S-103</v>
      </c>
      <c r="B4" s="27" t="s">
        <v>32</v>
      </c>
      <c r="C4" s="28">
        <v>44532</v>
      </c>
      <c r="D4" s="28" t="str">
        <f>VLOOKUP(C4,Date_Dim!A4:B91,2,1)</f>
        <v>20211202</v>
      </c>
      <c r="E4" s="29">
        <v>2</v>
      </c>
      <c r="F4" s="29" t="s">
        <v>20</v>
      </c>
      <c r="G4" s="29">
        <v>2021</v>
      </c>
      <c r="H4" s="29" t="str">
        <f>VLOOKUP(I4,'Customer_Dim'!A4:B91,2,1)</f>
        <v>C-166</v>
      </c>
      <c r="I4" s="29">
        <v>37</v>
      </c>
      <c r="J4" s="29" t="s">
        <v>21</v>
      </c>
      <c r="K4" s="29" t="s">
        <v>169</v>
      </c>
      <c r="L4" s="29" t="s">
        <v>23</v>
      </c>
      <c r="M4" s="29" t="s">
        <v>24</v>
      </c>
      <c r="N4" s="29" t="str">
        <f>VLOOKUP(O3,Product_Dim!A4:B91,2,1)</f>
        <v>P-188</v>
      </c>
      <c r="O4" s="29" t="s">
        <v>25</v>
      </c>
      <c r="P4" s="29" t="s">
        <v>26</v>
      </c>
      <c r="Q4" s="30" t="s">
        <v>163</v>
      </c>
      <c r="R4" s="30" t="s">
        <v>162</v>
      </c>
      <c r="S4" s="30">
        <v>46</v>
      </c>
      <c r="T4" s="29">
        <v>2</v>
      </c>
      <c r="U4" s="31">
        <v>420</v>
      </c>
      <c r="V4" s="31">
        <v>769</v>
      </c>
      <c r="W4" s="31">
        <v>698</v>
      </c>
      <c r="X4" s="31">
        <f t="shared" si="0"/>
        <v>840</v>
      </c>
      <c r="Y4" s="31">
        <f t="shared" si="1"/>
        <v>1538</v>
      </c>
    </row>
    <row r="5" spans="1:25" x14ac:dyDescent="0.3">
      <c r="A5" s="34" t="str">
        <f>VLOOKUP(B5,Order_Dim!A5:B92,2,1)</f>
        <v>S-104</v>
      </c>
      <c r="B5" s="32" t="s">
        <v>35</v>
      </c>
      <c r="C5" s="33">
        <v>44532</v>
      </c>
      <c r="D5" s="28" t="str">
        <f>VLOOKUP(C5,Date_Dim!A5:B92,2,1)</f>
        <v>20211202</v>
      </c>
      <c r="E5" s="34">
        <v>2</v>
      </c>
      <c r="F5" s="34" t="s">
        <v>20</v>
      </c>
      <c r="G5" s="34">
        <v>2021</v>
      </c>
      <c r="H5" s="34" t="str">
        <f>VLOOKUP(I5,'Customer_Dim'!A5:B92,2,1)</f>
        <v>C-120</v>
      </c>
      <c r="I5" s="34">
        <v>31</v>
      </c>
      <c r="J5" s="34" t="s">
        <v>36</v>
      </c>
      <c r="K5" s="34" t="s">
        <v>168</v>
      </c>
      <c r="L5" s="34" t="s">
        <v>37</v>
      </c>
      <c r="M5" s="34" t="s">
        <v>38</v>
      </c>
      <c r="N5" s="34" t="str">
        <f>VLOOKUP(O4,Product_Dim!A5:B92,2,1)</f>
        <v>P-188</v>
      </c>
      <c r="O5" s="34" t="s">
        <v>25</v>
      </c>
      <c r="P5" s="34" t="s">
        <v>26</v>
      </c>
      <c r="Q5" s="35" t="s">
        <v>163</v>
      </c>
      <c r="R5" s="35" t="s">
        <v>162</v>
      </c>
      <c r="S5" s="35">
        <v>42</v>
      </c>
      <c r="T5" s="34">
        <v>1</v>
      </c>
      <c r="U5" s="36">
        <v>420</v>
      </c>
      <c r="V5" s="36">
        <v>769</v>
      </c>
      <c r="W5" s="36">
        <v>349</v>
      </c>
      <c r="X5" s="36">
        <f t="shared" si="0"/>
        <v>420</v>
      </c>
      <c r="Y5" s="36">
        <f t="shared" si="1"/>
        <v>769</v>
      </c>
    </row>
    <row r="6" spans="1:25" x14ac:dyDescent="0.3">
      <c r="A6" s="29" t="str">
        <f>VLOOKUP(B6,Order_Dim!A6:B93,2,1)</f>
        <v>S-105</v>
      </c>
      <c r="B6" s="27" t="s">
        <v>40</v>
      </c>
      <c r="C6" s="28">
        <v>44533</v>
      </c>
      <c r="D6" s="28" t="str">
        <f>VLOOKUP(C6,Date_Dim!A6:B93,2,1)</f>
        <v>20211203</v>
      </c>
      <c r="E6" s="29">
        <v>3</v>
      </c>
      <c r="F6" s="29" t="s">
        <v>20</v>
      </c>
      <c r="G6" s="29">
        <v>2021</v>
      </c>
      <c r="H6" s="29" t="str">
        <f>VLOOKUP(I6,'Customer_Dim'!A6:B93,2,1)</f>
        <v>C-153</v>
      </c>
      <c r="I6" s="29">
        <v>37</v>
      </c>
      <c r="J6" s="29" t="s">
        <v>21</v>
      </c>
      <c r="K6" s="29" t="s">
        <v>168</v>
      </c>
      <c r="L6" s="29" t="s">
        <v>23</v>
      </c>
      <c r="M6" s="29" t="s">
        <v>24</v>
      </c>
      <c r="N6" s="29" t="str">
        <f>VLOOKUP(O5,Product_Dim!A6:B93,2,1)</f>
        <v>P-188</v>
      </c>
      <c r="O6" s="29" t="s">
        <v>25</v>
      </c>
      <c r="P6" s="29" t="s">
        <v>26</v>
      </c>
      <c r="Q6" s="30" t="s">
        <v>160</v>
      </c>
      <c r="R6" s="30" t="s">
        <v>161</v>
      </c>
      <c r="S6" s="30">
        <v>46</v>
      </c>
      <c r="T6" s="29">
        <v>2</v>
      </c>
      <c r="U6" s="31">
        <v>1252</v>
      </c>
      <c r="V6" s="31">
        <v>2295</v>
      </c>
      <c r="W6" s="31">
        <v>2086</v>
      </c>
      <c r="X6" s="31">
        <f t="shared" si="0"/>
        <v>2504</v>
      </c>
      <c r="Y6" s="31">
        <f t="shared" si="1"/>
        <v>4590</v>
      </c>
    </row>
    <row r="7" spans="1:25" x14ac:dyDescent="0.3">
      <c r="A7" s="34" t="str">
        <f>VLOOKUP(B7,Order_Dim!A7:B94,2,1)</f>
        <v>S-106</v>
      </c>
      <c r="B7" s="32" t="s">
        <v>42</v>
      </c>
      <c r="C7" s="33">
        <v>44533</v>
      </c>
      <c r="D7" s="28" t="str">
        <f>VLOOKUP(C7,Date_Dim!A7:B94,2,1)</f>
        <v>20211203</v>
      </c>
      <c r="E7" s="34">
        <v>3</v>
      </c>
      <c r="F7" s="34" t="s">
        <v>20</v>
      </c>
      <c r="G7" s="34">
        <v>2021</v>
      </c>
      <c r="H7" s="34" t="str">
        <f>VLOOKUP(I7,'Customer_Dim'!A7:B94,2,1)</f>
        <v>C-106</v>
      </c>
      <c r="I7" s="34">
        <v>24</v>
      </c>
      <c r="J7" s="34" t="s">
        <v>43</v>
      </c>
      <c r="K7" s="34" t="s">
        <v>168</v>
      </c>
      <c r="L7" s="34" t="s">
        <v>29</v>
      </c>
      <c r="M7" s="34" t="s">
        <v>30</v>
      </c>
      <c r="N7" s="34" t="str">
        <f>VLOOKUP(O6,Product_Dim!A7:B94,2,1)</f>
        <v>P-188</v>
      </c>
      <c r="O7" s="34" t="s">
        <v>25</v>
      </c>
      <c r="P7" s="34" t="s">
        <v>26</v>
      </c>
      <c r="Q7" s="35" t="s">
        <v>160</v>
      </c>
      <c r="R7" s="35" t="s">
        <v>161</v>
      </c>
      <c r="S7" s="35">
        <v>38</v>
      </c>
      <c r="T7" s="34">
        <v>1</v>
      </c>
      <c r="U7" s="36">
        <v>1252</v>
      </c>
      <c r="V7" s="36">
        <v>2295</v>
      </c>
      <c r="W7" s="36">
        <v>1043</v>
      </c>
      <c r="X7" s="36">
        <f t="shared" si="0"/>
        <v>1252</v>
      </c>
      <c r="Y7" s="36">
        <f t="shared" si="1"/>
        <v>2295</v>
      </c>
    </row>
    <row r="8" spans="1:25" x14ac:dyDescent="0.3">
      <c r="A8" s="29" t="str">
        <f>VLOOKUP(B8,Order_Dim!A8:B95,2,1)</f>
        <v>S-107</v>
      </c>
      <c r="B8" s="27" t="s">
        <v>45</v>
      </c>
      <c r="C8" s="28">
        <v>44533</v>
      </c>
      <c r="D8" s="28" t="str">
        <f>VLOOKUP(C8,Date_Dim!A8:B95,2,1)</f>
        <v>20211203</v>
      </c>
      <c r="E8" s="29">
        <v>3</v>
      </c>
      <c r="F8" s="29" t="s">
        <v>20</v>
      </c>
      <c r="G8" s="29">
        <v>2021</v>
      </c>
      <c r="H8" s="29" t="str">
        <f>VLOOKUP(I8,'Customer_Dim'!A8:B95,2,1)</f>
        <v>C-141</v>
      </c>
      <c r="I8" s="29">
        <v>37</v>
      </c>
      <c r="J8" s="29" t="s">
        <v>21</v>
      </c>
      <c r="K8" s="29" t="s">
        <v>169</v>
      </c>
      <c r="L8" s="29" t="s">
        <v>23</v>
      </c>
      <c r="M8" s="29" t="s">
        <v>47</v>
      </c>
      <c r="N8" s="29" t="str">
        <f>VLOOKUP(O7,Product_Dim!A8:B95,2,1)</f>
        <v>P-188</v>
      </c>
      <c r="O8" s="29" t="s">
        <v>25</v>
      </c>
      <c r="P8" s="29" t="s">
        <v>26</v>
      </c>
      <c r="Q8" s="30" t="s">
        <v>160</v>
      </c>
      <c r="R8" s="30" t="s">
        <v>161</v>
      </c>
      <c r="S8" s="30">
        <v>46</v>
      </c>
      <c r="T8" s="29">
        <v>1</v>
      </c>
      <c r="U8" s="31">
        <v>1252</v>
      </c>
      <c r="V8" s="31">
        <v>2295</v>
      </c>
      <c r="W8" s="31">
        <v>1043</v>
      </c>
      <c r="X8" s="31">
        <f t="shared" si="0"/>
        <v>1252</v>
      </c>
      <c r="Y8" s="31">
        <f t="shared" si="1"/>
        <v>2295</v>
      </c>
    </row>
    <row r="9" spans="1:25" s="4" customFormat="1" x14ac:dyDescent="0.3">
      <c r="A9" s="34" t="str">
        <f>VLOOKUP(B9,Order_Dim!A9:B96,2,1)</f>
        <v>S-108</v>
      </c>
      <c r="B9" s="32" t="s">
        <v>48</v>
      </c>
      <c r="C9" s="33">
        <v>44534</v>
      </c>
      <c r="D9" s="28" t="str">
        <f>VLOOKUP(C9,Date_Dim!A9:B96,2,1)</f>
        <v>20211204</v>
      </c>
      <c r="E9" s="34">
        <v>4</v>
      </c>
      <c r="F9" s="34" t="s">
        <v>20</v>
      </c>
      <c r="G9" s="34">
        <v>2021</v>
      </c>
      <c r="H9" s="34" t="str">
        <f>VLOOKUP(I9,'Customer_Dim'!A9:B96,2,1)</f>
        <v>C-164</v>
      </c>
      <c r="I9" s="34">
        <v>31</v>
      </c>
      <c r="J9" s="34" t="s">
        <v>36</v>
      </c>
      <c r="K9" s="34" t="s">
        <v>168</v>
      </c>
      <c r="L9" s="34" t="s">
        <v>37</v>
      </c>
      <c r="M9" s="34" t="s">
        <v>38</v>
      </c>
      <c r="N9" s="34" t="str">
        <f>VLOOKUP(O8,Product_Dim!A9:B96,2,1)</f>
        <v>P-188</v>
      </c>
      <c r="O9" s="34" t="s">
        <v>25</v>
      </c>
      <c r="P9" s="34" t="s">
        <v>26</v>
      </c>
      <c r="Q9" s="35" t="s">
        <v>163</v>
      </c>
      <c r="R9" s="35" t="s">
        <v>162</v>
      </c>
      <c r="S9" s="35">
        <v>42</v>
      </c>
      <c r="T9" s="34">
        <v>4</v>
      </c>
      <c r="U9" s="36">
        <v>420</v>
      </c>
      <c r="V9" s="36">
        <v>769</v>
      </c>
      <c r="W9" s="36">
        <v>1396</v>
      </c>
      <c r="X9" s="36">
        <f t="shared" si="0"/>
        <v>1680</v>
      </c>
      <c r="Y9" s="36">
        <f t="shared" si="1"/>
        <v>3076</v>
      </c>
    </row>
    <row r="10" spans="1:25" x14ac:dyDescent="0.3">
      <c r="A10" s="29" t="str">
        <f>VLOOKUP(B10,Order_Dim!A10:B97,2,1)</f>
        <v>S-109</v>
      </c>
      <c r="B10" s="27" t="s">
        <v>49</v>
      </c>
      <c r="C10" s="28">
        <v>44535</v>
      </c>
      <c r="D10" s="28" t="str">
        <f>VLOOKUP(C10,Date_Dim!A10:B97,2,1)</f>
        <v>20211205</v>
      </c>
      <c r="E10" s="29">
        <v>5</v>
      </c>
      <c r="F10" s="29" t="s">
        <v>20</v>
      </c>
      <c r="G10" s="29">
        <v>2021</v>
      </c>
      <c r="H10" s="29" t="str">
        <f>VLOOKUP(I10,'Customer_Dim'!A10:B97,2,1)</f>
        <v>C-188</v>
      </c>
      <c r="I10" s="29">
        <v>39</v>
      </c>
      <c r="J10" s="29" t="s">
        <v>21</v>
      </c>
      <c r="K10" s="29" t="s">
        <v>168</v>
      </c>
      <c r="L10" s="29" t="s">
        <v>23</v>
      </c>
      <c r="M10" s="29" t="s">
        <v>24</v>
      </c>
      <c r="N10" s="29" t="str">
        <f>VLOOKUP(O9,Product_Dim!A10:B97,2,1)</f>
        <v>P-188</v>
      </c>
      <c r="O10" s="29" t="s">
        <v>25</v>
      </c>
      <c r="P10" s="29" t="s">
        <v>26</v>
      </c>
      <c r="Q10" s="30" t="s">
        <v>160</v>
      </c>
      <c r="R10" s="30" t="s">
        <v>161</v>
      </c>
      <c r="S10" s="30">
        <v>46</v>
      </c>
      <c r="T10" s="29">
        <v>4</v>
      </c>
      <c r="U10" s="31">
        <v>1252</v>
      </c>
      <c r="V10" s="31">
        <v>2295</v>
      </c>
      <c r="W10" s="31">
        <v>4172</v>
      </c>
      <c r="X10" s="31">
        <f t="shared" si="0"/>
        <v>5008</v>
      </c>
      <c r="Y10" s="31">
        <f t="shared" si="1"/>
        <v>9180</v>
      </c>
    </row>
    <row r="11" spans="1:25" x14ac:dyDescent="0.3">
      <c r="A11" s="34" t="str">
        <f>VLOOKUP(B11,Order_Dim!A11:B98,2,1)</f>
        <v>S-110</v>
      </c>
      <c r="B11" s="32" t="s">
        <v>50</v>
      </c>
      <c r="C11" s="33">
        <v>44535</v>
      </c>
      <c r="D11" s="28" t="str">
        <f>VLOOKUP(C11,Date_Dim!A11:B98,2,1)</f>
        <v>20211205</v>
      </c>
      <c r="E11" s="34">
        <v>5</v>
      </c>
      <c r="F11" s="34" t="s">
        <v>20</v>
      </c>
      <c r="G11" s="34">
        <v>2021</v>
      </c>
      <c r="H11" s="34" t="str">
        <f>VLOOKUP(I11,'Customer_Dim'!A11:B98,2,1)</f>
        <v>C-188</v>
      </c>
      <c r="I11" s="34">
        <v>42</v>
      </c>
      <c r="J11" s="34" t="s">
        <v>21</v>
      </c>
      <c r="K11" s="34" t="s">
        <v>169</v>
      </c>
      <c r="L11" s="34" t="s">
        <v>51</v>
      </c>
      <c r="M11" s="34" t="s">
        <v>52</v>
      </c>
      <c r="N11" s="34" t="str">
        <f>VLOOKUP(O10,Product_Dim!A11:B98,2,1)</f>
        <v>P-188</v>
      </c>
      <c r="O11" s="34" t="s">
        <v>25</v>
      </c>
      <c r="P11" s="34" t="s">
        <v>26</v>
      </c>
      <c r="Q11" s="35" t="s">
        <v>160</v>
      </c>
      <c r="R11" s="35" t="s">
        <v>161</v>
      </c>
      <c r="S11" s="35">
        <v>38</v>
      </c>
      <c r="T11" s="34">
        <v>4</v>
      </c>
      <c r="U11" s="36">
        <v>1252</v>
      </c>
      <c r="V11" s="36">
        <v>2295</v>
      </c>
      <c r="W11" s="36">
        <v>4172</v>
      </c>
      <c r="X11" s="36">
        <f t="shared" si="0"/>
        <v>5008</v>
      </c>
      <c r="Y11" s="36">
        <f t="shared" si="1"/>
        <v>9180</v>
      </c>
    </row>
    <row r="12" spans="1:25" x14ac:dyDescent="0.3">
      <c r="A12" s="29" t="str">
        <f>VLOOKUP(B12,Order_Dim!A12:B99,2,1)</f>
        <v>S-111</v>
      </c>
      <c r="B12" s="27" t="s">
        <v>53</v>
      </c>
      <c r="C12" s="28">
        <v>44535</v>
      </c>
      <c r="D12" s="28" t="str">
        <f>VLOOKUP(C12,Date_Dim!A12:B99,2,1)</f>
        <v>20211205</v>
      </c>
      <c r="E12" s="29">
        <v>5</v>
      </c>
      <c r="F12" s="29" t="s">
        <v>20</v>
      </c>
      <c r="G12" s="29">
        <v>2021</v>
      </c>
      <c r="H12" s="29" t="str">
        <f>VLOOKUP(I12,'Customer_Dim'!A12:B99,2,1)</f>
        <v>C-111</v>
      </c>
      <c r="I12" s="29">
        <v>35</v>
      </c>
      <c r="J12" s="29" t="s">
        <v>21</v>
      </c>
      <c r="K12" s="29" t="s">
        <v>168</v>
      </c>
      <c r="L12" s="29" t="s">
        <v>37</v>
      </c>
      <c r="M12" s="29" t="s">
        <v>54</v>
      </c>
      <c r="N12" s="29" t="str">
        <f>VLOOKUP(O11,Product_Dim!A12:B99,2,1)</f>
        <v>P-188</v>
      </c>
      <c r="O12" s="29" t="s">
        <v>25</v>
      </c>
      <c r="P12" s="29" t="s">
        <v>26</v>
      </c>
      <c r="Q12" s="30" t="s">
        <v>160</v>
      </c>
      <c r="R12" s="30" t="s">
        <v>162</v>
      </c>
      <c r="S12" s="30">
        <v>38</v>
      </c>
      <c r="T12" s="29">
        <v>1</v>
      </c>
      <c r="U12" s="31">
        <v>1266</v>
      </c>
      <c r="V12" s="31">
        <v>2320</v>
      </c>
      <c r="W12" s="31">
        <v>1054</v>
      </c>
      <c r="X12" s="31">
        <f t="shared" si="0"/>
        <v>1266</v>
      </c>
      <c r="Y12" s="31">
        <f t="shared" si="1"/>
        <v>2320</v>
      </c>
    </row>
    <row r="13" spans="1:25" x14ac:dyDescent="0.3">
      <c r="A13" s="34" t="str">
        <f>VLOOKUP(B13,Order_Dim!A13:B100,2,1)</f>
        <v>S-112</v>
      </c>
      <c r="B13" s="32" t="s">
        <v>56</v>
      </c>
      <c r="C13" s="33">
        <v>44535</v>
      </c>
      <c r="D13" s="28" t="str">
        <f>VLOOKUP(C13,Date_Dim!A13:B100,2,1)</f>
        <v>20211205</v>
      </c>
      <c r="E13" s="34">
        <v>5</v>
      </c>
      <c r="F13" s="34" t="s">
        <v>20</v>
      </c>
      <c r="G13" s="34">
        <v>2021</v>
      </c>
      <c r="H13" s="34" t="str">
        <f>VLOOKUP(I13,'Customer_Dim'!A13:B100,2,1)</f>
        <v>C-187</v>
      </c>
      <c r="I13" s="34">
        <v>37</v>
      </c>
      <c r="J13" s="34" t="s">
        <v>21</v>
      </c>
      <c r="K13" s="34" t="s">
        <v>168</v>
      </c>
      <c r="L13" s="34" t="s">
        <v>23</v>
      </c>
      <c r="M13" s="34" t="s">
        <v>24</v>
      </c>
      <c r="N13" s="34" t="str">
        <f>VLOOKUP(O12,Product_Dim!A13:B100,2,1)</f>
        <v>P-188</v>
      </c>
      <c r="O13" s="34" t="s">
        <v>25</v>
      </c>
      <c r="P13" s="34" t="s">
        <v>26</v>
      </c>
      <c r="Q13" s="35" t="s">
        <v>160</v>
      </c>
      <c r="R13" s="35" t="s">
        <v>161</v>
      </c>
      <c r="S13" s="35">
        <v>46</v>
      </c>
      <c r="T13" s="34">
        <v>1</v>
      </c>
      <c r="U13" s="36">
        <v>1252</v>
      </c>
      <c r="V13" s="36">
        <v>2295</v>
      </c>
      <c r="W13" s="36">
        <v>1043</v>
      </c>
      <c r="X13" s="36">
        <f t="shared" si="0"/>
        <v>1252</v>
      </c>
      <c r="Y13" s="36">
        <f t="shared" si="1"/>
        <v>2295</v>
      </c>
    </row>
    <row r="14" spans="1:25" x14ac:dyDescent="0.3">
      <c r="A14" s="29" t="str">
        <f>VLOOKUP(B14,Order_Dim!A14:B101,2,1)</f>
        <v>S-113</v>
      </c>
      <c r="B14" s="27" t="s">
        <v>57</v>
      </c>
      <c r="C14" s="28">
        <v>44536</v>
      </c>
      <c r="D14" s="28" t="str">
        <f>VLOOKUP(C14,Date_Dim!A14:B101,2,1)</f>
        <v>20211206</v>
      </c>
      <c r="E14" s="29">
        <v>6</v>
      </c>
      <c r="F14" s="29" t="s">
        <v>20</v>
      </c>
      <c r="G14" s="29">
        <v>2021</v>
      </c>
      <c r="H14" s="29" t="str">
        <f>VLOOKUP(I14,'Customer_Dim'!A14:B101,2,1)</f>
        <v>C-113</v>
      </c>
      <c r="I14" s="29">
        <v>23</v>
      </c>
      <c r="J14" s="29" t="s">
        <v>43</v>
      </c>
      <c r="K14" s="29" t="s">
        <v>169</v>
      </c>
      <c r="L14" s="29" t="s">
        <v>29</v>
      </c>
      <c r="M14" s="29" t="s">
        <v>30</v>
      </c>
      <c r="N14" s="29" t="str">
        <f>VLOOKUP(O13,Product_Dim!A14:B101,2,1)</f>
        <v>P-188</v>
      </c>
      <c r="O14" s="29" t="s">
        <v>25</v>
      </c>
      <c r="P14" s="29" t="s">
        <v>26</v>
      </c>
      <c r="Q14" s="30" t="s">
        <v>163</v>
      </c>
      <c r="R14" s="30" t="s">
        <v>162</v>
      </c>
      <c r="S14" s="30">
        <v>46</v>
      </c>
      <c r="T14" s="29">
        <v>3</v>
      </c>
      <c r="U14" s="31">
        <v>420</v>
      </c>
      <c r="V14" s="31">
        <v>769</v>
      </c>
      <c r="W14" s="31">
        <v>1047</v>
      </c>
      <c r="X14" s="31">
        <f t="shared" si="0"/>
        <v>1260</v>
      </c>
      <c r="Y14" s="31">
        <f t="shared" si="1"/>
        <v>2307</v>
      </c>
    </row>
    <row r="15" spans="1:25" x14ac:dyDescent="0.3">
      <c r="A15" s="34" t="str">
        <f>VLOOKUP(B15,Order_Dim!A15:B102,2,1)</f>
        <v>S-114</v>
      </c>
      <c r="B15" s="32" t="s">
        <v>58</v>
      </c>
      <c r="C15" s="33">
        <v>44536</v>
      </c>
      <c r="D15" s="28" t="str">
        <f>VLOOKUP(C15,Date_Dim!A15:B102,2,1)</f>
        <v>20211206</v>
      </c>
      <c r="E15" s="34">
        <v>6</v>
      </c>
      <c r="F15" s="34" t="s">
        <v>20</v>
      </c>
      <c r="G15" s="34">
        <v>2021</v>
      </c>
      <c r="H15" s="34" t="str">
        <f>VLOOKUP(I15,'Customer_Dim'!A15:B102,2,1)</f>
        <v>C-164</v>
      </c>
      <c r="I15" s="34">
        <v>27</v>
      </c>
      <c r="J15" s="34" t="s">
        <v>36</v>
      </c>
      <c r="K15" s="34" t="s">
        <v>169</v>
      </c>
      <c r="L15" s="34" t="s">
        <v>59</v>
      </c>
      <c r="M15" s="34" t="s">
        <v>60</v>
      </c>
      <c r="N15" s="34" t="str">
        <f>VLOOKUP(O14,Product_Dim!A15:B102,2,1)</f>
        <v>P-188</v>
      </c>
      <c r="O15" s="34" t="s">
        <v>25</v>
      </c>
      <c r="P15" s="34" t="s">
        <v>26</v>
      </c>
      <c r="Q15" s="35" t="s">
        <v>160</v>
      </c>
      <c r="R15" s="35" t="s">
        <v>161</v>
      </c>
      <c r="S15" s="35">
        <v>46</v>
      </c>
      <c r="T15" s="34">
        <v>1</v>
      </c>
      <c r="U15" s="36">
        <v>1252</v>
      </c>
      <c r="V15" s="36">
        <v>2295</v>
      </c>
      <c r="W15" s="36">
        <v>1043</v>
      </c>
      <c r="X15" s="36">
        <f t="shared" si="0"/>
        <v>1252</v>
      </c>
      <c r="Y15" s="36">
        <f t="shared" si="1"/>
        <v>2295</v>
      </c>
    </row>
    <row r="16" spans="1:25" x14ac:dyDescent="0.3">
      <c r="A16" s="29" t="str">
        <f>VLOOKUP(B16,Order_Dim!A16:B103,2,1)</f>
        <v>S-115</v>
      </c>
      <c r="B16" s="27" t="s">
        <v>61</v>
      </c>
      <c r="C16" s="28">
        <v>44536</v>
      </c>
      <c r="D16" s="28" t="str">
        <f>VLOOKUP(C16,Date_Dim!A16:B103,2,1)</f>
        <v>20211206</v>
      </c>
      <c r="E16" s="29">
        <v>6</v>
      </c>
      <c r="F16" s="29" t="s">
        <v>20</v>
      </c>
      <c r="G16" s="29">
        <v>2021</v>
      </c>
      <c r="H16" s="29" t="str">
        <f>VLOOKUP(I16,'Customer_Dim'!A16:B103,2,1)</f>
        <v>C-179</v>
      </c>
      <c r="I16" s="29">
        <v>36</v>
      </c>
      <c r="J16" s="29" t="s">
        <v>43</v>
      </c>
      <c r="K16" s="29" t="s">
        <v>169</v>
      </c>
      <c r="L16" s="29" t="s">
        <v>37</v>
      </c>
      <c r="M16" s="29" t="s">
        <v>38</v>
      </c>
      <c r="N16" s="29" t="str">
        <f>VLOOKUP(O15,Product_Dim!A16:B103,2,1)</f>
        <v>P-188</v>
      </c>
      <c r="O16" s="29" t="s">
        <v>25</v>
      </c>
      <c r="P16" s="29" t="s">
        <v>26</v>
      </c>
      <c r="Q16" s="30" t="s">
        <v>160</v>
      </c>
      <c r="R16" s="30" t="s">
        <v>161</v>
      </c>
      <c r="S16" s="30">
        <v>42</v>
      </c>
      <c r="T16" s="29">
        <v>1</v>
      </c>
      <c r="U16" s="31">
        <v>1252</v>
      </c>
      <c r="V16" s="31">
        <v>2295</v>
      </c>
      <c r="W16" s="31">
        <v>1043</v>
      </c>
      <c r="X16" s="31">
        <f t="shared" si="0"/>
        <v>1252</v>
      </c>
      <c r="Y16" s="31">
        <f t="shared" si="1"/>
        <v>2295</v>
      </c>
    </row>
    <row r="17" spans="1:25" x14ac:dyDescent="0.3">
      <c r="A17" s="34" t="str">
        <f>VLOOKUP(B17,Order_Dim!A17:B104,2,1)</f>
        <v>S-116</v>
      </c>
      <c r="B17" s="32" t="s">
        <v>63</v>
      </c>
      <c r="C17" s="33">
        <v>44536</v>
      </c>
      <c r="D17" s="28" t="str">
        <f>VLOOKUP(C17,Date_Dim!A17:B104,2,1)</f>
        <v>20211206</v>
      </c>
      <c r="E17" s="34">
        <v>6</v>
      </c>
      <c r="F17" s="34" t="s">
        <v>20</v>
      </c>
      <c r="G17" s="34">
        <v>2021</v>
      </c>
      <c r="H17" s="34" t="str">
        <f>VLOOKUP(I17,'Customer_Dim'!A17:B104,2,1)</f>
        <v>C-188</v>
      </c>
      <c r="I17" s="34">
        <v>47</v>
      </c>
      <c r="J17" s="34" t="s">
        <v>21</v>
      </c>
      <c r="K17" s="34" t="s">
        <v>169</v>
      </c>
      <c r="L17" s="34" t="s">
        <v>29</v>
      </c>
      <c r="M17" s="34" t="s">
        <v>30</v>
      </c>
      <c r="N17" s="34" t="str">
        <f>VLOOKUP(O16,Product_Dim!A17:B104,2,1)</f>
        <v>P-188</v>
      </c>
      <c r="O17" s="34" t="s">
        <v>25</v>
      </c>
      <c r="P17" s="34" t="s">
        <v>26</v>
      </c>
      <c r="Q17" s="35" t="s">
        <v>160</v>
      </c>
      <c r="R17" s="35" t="s">
        <v>162</v>
      </c>
      <c r="S17" s="35">
        <v>38</v>
      </c>
      <c r="T17" s="34">
        <v>1</v>
      </c>
      <c r="U17" s="36">
        <v>1266</v>
      </c>
      <c r="V17" s="36">
        <v>2320</v>
      </c>
      <c r="W17" s="36">
        <v>1054</v>
      </c>
      <c r="X17" s="36">
        <f t="shared" si="0"/>
        <v>1266</v>
      </c>
      <c r="Y17" s="36">
        <f t="shared" si="1"/>
        <v>2320</v>
      </c>
    </row>
    <row r="18" spans="1:25" x14ac:dyDescent="0.3">
      <c r="A18" s="29" t="str">
        <f>VLOOKUP(B18,Order_Dim!A18:B105,2,1)</f>
        <v>S-117</v>
      </c>
      <c r="B18" s="27" t="s">
        <v>64</v>
      </c>
      <c r="C18" s="28">
        <v>44537</v>
      </c>
      <c r="D18" s="28" t="str">
        <f>VLOOKUP(C18,Date_Dim!A18:B105,2,1)</f>
        <v>20211207</v>
      </c>
      <c r="E18" s="29">
        <v>7</v>
      </c>
      <c r="F18" s="29" t="s">
        <v>170</v>
      </c>
      <c r="G18" s="29">
        <v>2021</v>
      </c>
      <c r="H18" s="29" t="str">
        <f>VLOOKUP(I18,'Customer_Dim'!A18:B105,2,1)</f>
        <v>C-183</v>
      </c>
      <c r="I18" s="29">
        <v>30</v>
      </c>
      <c r="J18" s="29" t="s">
        <v>36</v>
      </c>
      <c r="K18" s="29" t="s">
        <v>169</v>
      </c>
      <c r="L18" s="29" t="s">
        <v>23</v>
      </c>
      <c r="M18" s="29" t="s">
        <v>24</v>
      </c>
      <c r="N18" s="29" t="str">
        <f>VLOOKUP(O17,Product_Dim!A18:B105,2,1)</f>
        <v>P-188</v>
      </c>
      <c r="O18" s="29" t="s">
        <v>25</v>
      </c>
      <c r="P18" s="29" t="s">
        <v>26</v>
      </c>
      <c r="Q18" s="30" t="s">
        <v>163</v>
      </c>
      <c r="R18" s="30" t="s">
        <v>162</v>
      </c>
      <c r="S18" s="30">
        <v>38</v>
      </c>
      <c r="T18" s="29">
        <v>4</v>
      </c>
      <c r="U18" s="31">
        <v>420</v>
      </c>
      <c r="V18" s="31">
        <v>769</v>
      </c>
      <c r="W18" s="31">
        <v>1396</v>
      </c>
      <c r="X18" s="31">
        <f t="shared" si="0"/>
        <v>1680</v>
      </c>
      <c r="Y18" s="31">
        <f t="shared" si="1"/>
        <v>3076</v>
      </c>
    </row>
    <row r="19" spans="1:25" x14ac:dyDescent="0.3">
      <c r="A19" s="34" t="str">
        <f>VLOOKUP(B19,Order_Dim!A19:B106,2,1)</f>
        <v>S-118</v>
      </c>
      <c r="B19" s="32" t="s">
        <v>67</v>
      </c>
      <c r="C19" s="33">
        <v>44537</v>
      </c>
      <c r="D19" s="28" t="str">
        <f>VLOOKUP(C19,Date_Dim!A19:B106,2,1)</f>
        <v>20211207</v>
      </c>
      <c r="E19" s="34">
        <v>7</v>
      </c>
      <c r="F19" s="34" t="s">
        <v>20</v>
      </c>
      <c r="G19" s="34">
        <v>2021</v>
      </c>
      <c r="H19" s="34" t="str">
        <f>VLOOKUP(I19,'Customer_Dim'!A19:B106,2,1)</f>
        <v>C-188</v>
      </c>
      <c r="I19" s="34">
        <v>38</v>
      </c>
      <c r="J19" s="34" t="s">
        <v>21</v>
      </c>
      <c r="K19" s="34" t="s">
        <v>169</v>
      </c>
      <c r="L19" s="34" t="s">
        <v>23</v>
      </c>
      <c r="M19" s="34" t="s">
        <v>24</v>
      </c>
      <c r="N19" s="34" t="str">
        <f>VLOOKUP(O18,Product_Dim!A19:B106,2,1)</f>
        <v>P-188</v>
      </c>
      <c r="O19" s="34" t="s">
        <v>25</v>
      </c>
      <c r="P19" s="34" t="s">
        <v>26</v>
      </c>
      <c r="Q19" s="35" t="s">
        <v>160</v>
      </c>
      <c r="R19" s="35" t="s">
        <v>162</v>
      </c>
      <c r="S19" s="35">
        <v>42</v>
      </c>
      <c r="T19" s="34">
        <v>2</v>
      </c>
      <c r="U19" s="36">
        <v>1266</v>
      </c>
      <c r="V19" s="36">
        <v>2320</v>
      </c>
      <c r="W19" s="36">
        <v>2108</v>
      </c>
      <c r="X19" s="36">
        <f t="shared" si="0"/>
        <v>2532</v>
      </c>
      <c r="Y19" s="36">
        <f t="shared" si="1"/>
        <v>4640</v>
      </c>
    </row>
    <row r="20" spans="1:25" x14ac:dyDescent="0.3">
      <c r="A20" s="29" t="str">
        <f>VLOOKUP(B20,Order_Dim!A20:B107,2,1)</f>
        <v>S-119</v>
      </c>
      <c r="B20" s="27" t="s">
        <v>68</v>
      </c>
      <c r="C20" s="28">
        <v>44538</v>
      </c>
      <c r="D20" s="28" t="str">
        <f>VLOOKUP(C20,Date_Dim!A20:B107,2,1)</f>
        <v>20211208</v>
      </c>
      <c r="E20" s="29">
        <v>8</v>
      </c>
      <c r="F20" s="29" t="s">
        <v>20</v>
      </c>
      <c r="G20" s="29">
        <v>2021</v>
      </c>
      <c r="H20" s="29" t="str">
        <f>VLOOKUP(I20,'Customer_Dim'!A20:B107,2,1)</f>
        <v>C-163</v>
      </c>
      <c r="I20" s="29">
        <v>19</v>
      </c>
      <c r="J20" s="29" t="s">
        <v>43</v>
      </c>
      <c r="K20" s="29" t="s">
        <v>168</v>
      </c>
      <c r="L20" s="29" t="s">
        <v>37</v>
      </c>
      <c r="M20" s="29" t="s">
        <v>38</v>
      </c>
      <c r="N20" s="29" t="str">
        <f>VLOOKUP(O19,Product_Dim!A20:B107,2,1)</f>
        <v>P-188</v>
      </c>
      <c r="O20" s="29" t="s">
        <v>25</v>
      </c>
      <c r="P20" s="29" t="s">
        <v>26</v>
      </c>
      <c r="Q20" s="30" t="s">
        <v>164</v>
      </c>
      <c r="R20" s="30" t="s">
        <v>162</v>
      </c>
      <c r="S20" s="30">
        <v>42</v>
      </c>
      <c r="T20" s="29">
        <v>4</v>
      </c>
      <c r="U20" s="31">
        <v>308</v>
      </c>
      <c r="V20" s="31">
        <v>565</v>
      </c>
      <c r="W20" s="31">
        <v>1028</v>
      </c>
      <c r="X20" s="31">
        <f t="shared" si="0"/>
        <v>1232</v>
      </c>
      <c r="Y20" s="31">
        <f t="shared" si="1"/>
        <v>2260</v>
      </c>
    </row>
    <row r="21" spans="1:25" x14ac:dyDescent="0.3">
      <c r="A21" s="34" t="str">
        <f>VLOOKUP(B21,Order_Dim!A21:B108,2,1)</f>
        <v>S-120</v>
      </c>
      <c r="B21" s="32" t="s">
        <v>70</v>
      </c>
      <c r="C21" s="33">
        <v>44538</v>
      </c>
      <c r="D21" s="28" t="str">
        <f>VLOOKUP(C21,Date_Dim!A21:B108,2,1)</f>
        <v>20211208</v>
      </c>
      <c r="E21" s="34">
        <v>8</v>
      </c>
      <c r="F21" s="34" t="s">
        <v>20</v>
      </c>
      <c r="G21" s="34">
        <v>2021</v>
      </c>
      <c r="H21" s="34" t="str">
        <f>VLOOKUP(I21,'Customer_Dim'!A21:B108,2,1)</f>
        <v>C-185</v>
      </c>
      <c r="I21" s="34">
        <v>30</v>
      </c>
      <c r="J21" s="34" t="s">
        <v>36</v>
      </c>
      <c r="K21" s="34" t="s">
        <v>168</v>
      </c>
      <c r="L21" s="34" t="s">
        <v>59</v>
      </c>
      <c r="M21" s="34" t="s">
        <v>60</v>
      </c>
      <c r="N21" s="34" t="str">
        <f>VLOOKUP(O20,Product_Dim!A21:B108,2,1)</f>
        <v>P-188</v>
      </c>
      <c r="O21" s="34" t="s">
        <v>25</v>
      </c>
      <c r="P21" s="34" t="s">
        <v>26</v>
      </c>
      <c r="Q21" s="35" t="s">
        <v>160</v>
      </c>
      <c r="R21" s="35" t="s">
        <v>162</v>
      </c>
      <c r="S21" s="35">
        <v>38</v>
      </c>
      <c r="T21" s="34">
        <v>4</v>
      </c>
      <c r="U21" s="36">
        <v>1266</v>
      </c>
      <c r="V21" s="36">
        <v>2320</v>
      </c>
      <c r="W21" s="36">
        <v>4216</v>
      </c>
      <c r="X21" s="36">
        <f t="shared" si="0"/>
        <v>5064</v>
      </c>
      <c r="Y21" s="36">
        <f t="shared" si="1"/>
        <v>9280</v>
      </c>
    </row>
    <row r="22" spans="1:25" x14ac:dyDescent="0.3">
      <c r="A22" s="29" t="str">
        <f>VLOOKUP(B22,Order_Dim!A22:B109,2,1)</f>
        <v>S-121</v>
      </c>
      <c r="B22" s="27" t="s">
        <v>71</v>
      </c>
      <c r="C22" s="28">
        <v>44538</v>
      </c>
      <c r="D22" s="28" t="str">
        <f>VLOOKUP(C22,Date_Dim!A22:B109,2,1)</f>
        <v>20211208</v>
      </c>
      <c r="E22" s="29">
        <v>8</v>
      </c>
      <c r="F22" s="29" t="s">
        <v>20</v>
      </c>
      <c r="G22" s="29">
        <v>2021</v>
      </c>
      <c r="H22" s="29" t="str">
        <f>VLOOKUP(I22,'Customer_Dim'!A22:B109,2,1)</f>
        <v>C-188</v>
      </c>
      <c r="I22" s="29">
        <v>39</v>
      </c>
      <c r="J22" s="29" t="s">
        <v>21</v>
      </c>
      <c r="K22" s="29" t="s">
        <v>168</v>
      </c>
      <c r="L22" s="29" t="s">
        <v>23</v>
      </c>
      <c r="M22" s="29" t="s">
        <v>72</v>
      </c>
      <c r="N22" s="29" t="str">
        <f>VLOOKUP(O21,Product_Dim!A22:B109,2,1)</f>
        <v>P-188</v>
      </c>
      <c r="O22" s="29" t="s">
        <v>25</v>
      </c>
      <c r="P22" s="29" t="s">
        <v>26</v>
      </c>
      <c r="Q22" s="30" t="s">
        <v>160</v>
      </c>
      <c r="R22" s="30" t="s">
        <v>161</v>
      </c>
      <c r="S22" s="30">
        <v>42</v>
      </c>
      <c r="T22" s="29">
        <v>2</v>
      </c>
      <c r="U22" s="31">
        <v>1252</v>
      </c>
      <c r="V22" s="31">
        <v>2295</v>
      </c>
      <c r="W22" s="31">
        <v>2086</v>
      </c>
      <c r="X22" s="31">
        <f t="shared" si="0"/>
        <v>2504</v>
      </c>
      <c r="Y22" s="31">
        <f t="shared" si="1"/>
        <v>4590</v>
      </c>
    </row>
    <row r="23" spans="1:25" x14ac:dyDescent="0.3">
      <c r="A23" s="34" t="str">
        <f>VLOOKUP(B23,Order_Dim!A23:B110,2,1)</f>
        <v>S-122</v>
      </c>
      <c r="B23" s="32" t="s">
        <v>73</v>
      </c>
      <c r="C23" s="33">
        <v>44538</v>
      </c>
      <c r="D23" s="28" t="str">
        <f>VLOOKUP(C23,Date_Dim!A23:B110,2,1)</f>
        <v>20211208</v>
      </c>
      <c r="E23" s="34">
        <v>8</v>
      </c>
      <c r="F23" s="34" t="s">
        <v>20</v>
      </c>
      <c r="G23" s="34">
        <v>2021</v>
      </c>
      <c r="H23" s="34" t="str">
        <f>VLOOKUP(I23,'Customer_Dim'!A23:B110,2,1)</f>
        <v>C-165</v>
      </c>
      <c r="I23" s="34">
        <v>35</v>
      </c>
      <c r="J23" s="34" t="s">
        <v>21</v>
      </c>
      <c r="K23" s="34" t="s">
        <v>168</v>
      </c>
      <c r="L23" s="34" t="s">
        <v>23</v>
      </c>
      <c r="M23" s="34" t="s">
        <v>24</v>
      </c>
      <c r="N23" s="34" t="str">
        <f>VLOOKUP(O22,Product_Dim!A23:B110,2,1)</f>
        <v>P-188</v>
      </c>
      <c r="O23" s="34" t="s">
        <v>25</v>
      </c>
      <c r="P23" s="34" t="s">
        <v>26</v>
      </c>
      <c r="Q23" s="35" t="s">
        <v>164</v>
      </c>
      <c r="R23" s="35" t="s">
        <v>161</v>
      </c>
      <c r="S23" s="35">
        <v>42</v>
      </c>
      <c r="T23" s="34">
        <v>4</v>
      </c>
      <c r="U23" s="36">
        <v>295</v>
      </c>
      <c r="V23" s="36">
        <v>540</v>
      </c>
      <c r="W23" s="36">
        <v>245</v>
      </c>
      <c r="X23" s="36">
        <f t="shared" si="0"/>
        <v>1180</v>
      </c>
      <c r="Y23" s="36">
        <f t="shared" si="1"/>
        <v>2160</v>
      </c>
    </row>
    <row r="24" spans="1:25" x14ac:dyDescent="0.3">
      <c r="A24" s="29" t="str">
        <f>VLOOKUP(B24,Order_Dim!A24:B111,2,1)</f>
        <v>S-123</v>
      </c>
      <c r="B24" s="27" t="s">
        <v>75</v>
      </c>
      <c r="C24" s="28">
        <v>44539</v>
      </c>
      <c r="D24" s="28" t="str">
        <f>VLOOKUP(C24,Date_Dim!A24:B111,2,1)</f>
        <v>20211209</v>
      </c>
      <c r="E24" s="29">
        <v>9</v>
      </c>
      <c r="F24" s="29" t="s">
        <v>20</v>
      </c>
      <c r="G24" s="29">
        <v>2021</v>
      </c>
      <c r="H24" s="29" t="str">
        <f>VLOOKUP(I24,'Customer_Dim'!A24:B111,2,1)</f>
        <v>C-133</v>
      </c>
      <c r="I24" s="29">
        <v>33</v>
      </c>
      <c r="J24" s="29" t="s">
        <v>36</v>
      </c>
      <c r="K24" s="29" t="s">
        <v>168</v>
      </c>
      <c r="L24" s="29" t="s">
        <v>37</v>
      </c>
      <c r="M24" s="29" t="s">
        <v>76</v>
      </c>
      <c r="N24" s="29" t="str">
        <f>VLOOKUP(O23,Product_Dim!A24:B111,2,1)</f>
        <v>P-188</v>
      </c>
      <c r="O24" s="29" t="s">
        <v>25</v>
      </c>
      <c r="P24" s="29" t="s">
        <v>26</v>
      </c>
      <c r="Q24" s="30" t="s">
        <v>165</v>
      </c>
      <c r="R24" s="30" t="s">
        <v>161</v>
      </c>
      <c r="S24" s="30">
        <v>38</v>
      </c>
      <c r="T24" s="29">
        <v>2</v>
      </c>
      <c r="U24" s="31">
        <v>1898</v>
      </c>
      <c r="V24" s="31">
        <v>3375</v>
      </c>
      <c r="W24" s="31">
        <v>2954</v>
      </c>
      <c r="X24" s="31">
        <f t="shared" si="0"/>
        <v>3796</v>
      </c>
      <c r="Y24" s="31">
        <f t="shared" si="1"/>
        <v>6750</v>
      </c>
    </row>
    <row r="25" spans="1:25" x14ac:dyDescent="0.3">
      <c r="A25" s="34" t="str">
        <f>VLOOKUP(B25,Order_Dim!A25:B112,2,1)</f>
        <v>S-124</v>
      </c>
      <c r="B25" s="32" t="s">
        <v>78</v>
      </c>
      <c r="C25" s="33">
        <v>44539</v>
      </c>
      <c r="D25" s="28" t="str">
        <f>VLOOKUP(C25,Date_Dim!A25:B112,2,1)</f>
        <v>20211209</v>
      </c>
      <c r="E25" s="34">
        <v>9</v>
      </c>
      <c r="F25" s="34" t="s">
        <v>20</v>
      </c>
      <c r="G25" s="34">
        <v>2021</v>
      </c>
      <c r="H25" s="34" t="str">
        <f>VLOOKUP(I25,'Customer_Dim'!A25:B112,2,1)</f>
        <v>C-188</v>
      </c>
      <c r="I25" s="34">
        <v>41</v>
      </c>
      <c r="J25" s="34" t="s">
        <v>21</v>
      </c>
      <c r="K25" s="34" t="s">
        <v>168</v>
      </c>
      <c r="L25" s="34" t="s">
        <v>51</v>
      </c>
      <c r="M25" s="34" t="s">
        <v>79</v>
      </c>
      <c r="N25" s="34" t="str">
        <f>VLOOKUP(O24,Product_Dim!A25:B112,2,1)</f>
        <v>P-188</v>
      </c>
      <c r="O25" s="34" t="s">
        <v>25</v>
      </c>
      <c r="P25" s="34" t="s">
        <v>26</v>
      </c>
      <c r="Q25" s="35" t="s">
        <v>160</v>
      </c>
      <c r="R25" s="35" t="s">
        <v>162</v>
      </c>
      <c r="S25" s="35">
        <v>42</v>
      </c>
      <c r="T25" s="34">
        <v>1</v>
      </c>
      <c r="U25" s="36">
        <v>1266</v>
      </c>
      <c r="V25" s="36">
        <v>2320</v>
      </c>
      <c r="W25" s="36">
        <v>1054</v>
      </c>
      <c r="X25" s="36">
        <f t="shared" si="0"/>
        <v>1266</v>
      </c>
      <c r="Y25" s="36">
        <f t="shared" si="1"/>
        <v>2320</v>
      </c>
    </row>
    <row r="26" spans="1:25" x14ac:dyDescent="0.3">
      <c r="A26" s="29" t="str">
        <f>VLOOKUP(B26,Order_Dim!A26:B113,2,1)</f>
        <v>S-125</v>
      </c>
      <c r="B26" s="27" t="s">
        <v>80</v>
      </c>
      <c r="C26" s="28">
        <v>44540</v>
      </c>
      <c r="D26" s="28" t="str">
        <f>VLOOKUP(C26,Date_Dim!A26:B113,2,1)</f>
        <v>20211210</v>
      </c>
      <c r="E26" s="29">
        <v>10</v>
      </c>
      <c r="F26" s="29" t="s">
        <v>20</v>
      </c>
      <c r="G26" s="29">
        <v>2021</v>
      </c>
      <c r="H26" s="29" t="str">
        <f>VLOOKUP(I26,'Customer_Dim'!A26:B113,2,1)</f>
        <v>C-164</v>
      </c>
      <c r="I26" s="29">
        <v>34</v>
      </c>
      <c r="J26" s="29" t="s">
        <v>36</v>
      </c>
      <c r="K26" s="29" t="s">
        <v>168</v>
      </c>
      <c r="L26" s="29" t="s">
        <v>23</v>
      </c>
      <c r="M26" s="29" t="s">
        <v>24</v>
      </c>
      <c r="N26" s="29" t="str">
        <f>VLOOKUP(O25,Product_Dim!A26:B113,2,1)</f>
        <v>P-188</v>
      </c>
      <c r="O26" s="29" t="s">
        <v>25</v>
      </c>
      <c r="P26" s="29" t="s">
        <v>26</v>
      </c>
      <c r="Q26" s="30" t="s">
        <v>160</v>
      </c>
      <c r="R26" s="30" t="s">
        <v>161</v>
      </c>
      <c r="S26" s="30">
        <v>42</v>
      </c>
      <c r="T26" s="29">
        <v>2</v>
      </c>
      <c r="U26" s="31">
        <v>1252</v>
      </c>
      <c r="V26" s="31">
        <v>2295</v>
      </c>
      <c r="W26" s="31">
        <v>2086</v>
      </c>
      <c r="X26" s="31">
        <f t="shared" si="0"/>
        <v>2504</v>
      </c>
      <c r="Y26" s="31">
        <f t="shared" si="1"/>
        <v>4590</v>
      </c>
    </row>
    <row r="27" spans="1:25" x14ac:dyDescent="0.3">
      <c r="A27" s="34" t="str">
        <f>VLOOKUP(B27,Order_Dim!A27:B114,2,1)</f>
        <v>S-126</v>
      </c>
      <c r="B27" s="32" t="s">
        <v>81</v>
      </c>
      <c r="C27" s="33">
        <v>44540</v>
      </c>
      <c r="D27" s="28" t="str">
        <f>VLOOKUP(C27,Date_Dim!A27:B114,2,1)</f>
        <v>20211210</v>
      </c>
      <c r="E27" s="34">
        <v>10</v>
      </c>
      <c r="F27" s="34" t="s">
        <v>20</v>
      </c>
      <c r="G27" s="34">
        <v>2021</v>
      </c>
      <c r="H27" s="34" t="str">
        <f>VLOOKUP(I27,'Customer_Dim'!A27:B114,2,1)</f>
        <v>C-179</v>
      </c>
      <c r="I27" s="34">
        <v>40</v>
      </c>
      <c r="J27" s="34" t="s">
        <v>21</v>
      </c>
      <c r="K27" s="34" t="s">
        <v>169</v>
      </c>
      <c r="L27" s="34" t="s">
        <v>37</v>
      </c>
      <c r="M27" s="34" t="s">
        <v>38</v>
      </c>
      <c r="N27" s="34" t="str">
        <f>VLOOKUP(O26,Product_Dim!A27:B114,2,1)</f>
        <v>P-188</v>
      </c>
      <c r="O27" s="34" t="s">
        <v>25</v>
      </c>
      <c r="P27" s="34" t="s">
        <v>26</v>
      </c>
      <c r="Q27" s="35" t="s">
        <v>160</v>
      </c>
      <c r="R27" s="35" t="s">
        <v>161</v>
      </c>
      <c r="S27" s="35">
        <v>42</v>
      </c>
      <c r="T27" s="34">
        <v>2</v>
      </c>
      <c r="U27" s="36">
        <v>1252</v>
      </c>
      <c r="V27" s="36">
        <v>2295</v>
      </c>
      <c r="W27" s="36">
        <v>2086</v>
      </c>
      <c r="X27" s="36">
        <f t="shared" si="0"/>
        <v>2504</v>
      </c>
      <c r="Y27" s="36">
        <f t="shared" si="1"/>
        <v>4590</v>
      </c>
    </row>
    <row r="28" spans="1:25" x14ac:dyDescent="0.3">
      <c r="A28" s="29" t="str">
        <f>VLOOKUP(B28,Order_Dim!A28:B115,2,1)</f>
        <v>S-127</v>
      </c>
      <c r="B28" s="27" t="s">
        <v>82</v>
      </c>
      <c r="C28" s="28">
        <v>44540</v>
      </c>
      <c r="D28" s="28" t="str">
        <f>VLOOKUP(C28,Date_Dim!A28:B115,2,1)</f>
        <v>20211210</v>
      </c>
      <c r="E28" s="29">
        <v>10</v>
      </c>
      <c r="F28" s="29" t="s">
        <v>20</v>
      </c>
      <c r="G28" s="29">
        <v>2021</v>
      </c>
      <c r="H28" s="29" t="str">
        <f>VLOOKUP(I28,'Customer_Dim'!A28:B115,2,1)</f>
        <v>C-131</v>
      </c>
      <c r="I28" s="29">
        <v>26</v>
      </c>
      <c r="J28" s="29" t="s">
        <v>36</v>
      </c>
      <c r="K28" s="29" t="s">
        <v>169</v>
      </c>
      <c r="L28" s="29" t="s">
        <v>29</v>
      </c>
      <c r="M28" s="29" t="s">
        <v>30</v>
      </c>
      <c r="N28" s="29" t="str">
        <f>VLOOKUP(O27,Product_Dim!A28:B115,2,1)</f>
        <v>P-188</v>
      </c>
      <c r="O28" s="29" t="s">
        <v>25</v>
      </c>
      <c r="P28" s="29" t="s">
        <v>26</v>
      </c>
      <c r="Q28" s="30" t="s">
        <v>160</v>
      </c>
      <c r="R28" s="30" t="s">
        <v>161</v>
      </c>
      <c r="S28" s="30">
        <v>38</v>
      </c>
      <c r="T28" s="29">
        <v>1</v>
      </c>
      <c r="U28" s="31">
        <v>1252</v>
      </c>
      <c r="V28" s="31">
        <v>2295</v>
      </c>
      <c r="W28" s="31">
        <v>1043</v>
      </c>
      <c r="X28" s="31">
        <f t="shared" si="0"/>
        <v>1252</v>
      </c>
      <c r="Y28" s="31">
        <f t="shared" si="1"/>
        <v>2295</v>
      </c>
    </row>
    <row r="29" spans="1:25" x14ac:dyDescent="0.3">
      <c r="A29" s="34" t="str">
        <f>VLOOKUP(B29,Order_Dim!A29:B116,2,1)</f>
        <v>S-128</v>
      </c>
      <c r="B29" s="32" t="s">
        <v>83</v>
      </c>
      <c r="C29" s="33">
        <v>44540</v>
      </c>
      <c r="D29" s="28" t="str">
        <f>VLOOKUP(C29,Date_Dim!A29:B116,2,1)</f>
        <v>20211210</v>
      </c>
      <c r="E29" s="34">
        <v>10</v>
      </c>
      <c r="F29" s="34" t="s">
        <v>20</v>
      </c>
      <c r="G29" s="34">
        <v>2021</v>
      </c>
      <c r="H29" s="34" t="str">
        <f>VLOOKUP(I29,'Customer_Dim'!A29:B116,2,1)</f>
        <v>C-164</v>
      </c>
      <c r="I29" s="34">
        <v>34</v>
      </c>
      <c r="J29" s="34" t="s">
        <v>36</v>
      </c>
      <c r="K29" s="34" t="s">
        <v>169</v>
      </c>
      <c r="L29" s="34" t="s">
        <v>23</v>
      </c>
      <c r="M29" s="34" t="s">
        <v>24</v>
      </c>
      <c r="N29" s="34" t="str">
        <f>VLOOKUP(O28,Product_Dim!A29:B116,2,1)</f>
        <v>P-188</v>
      </c>
      <c r="O29" s="34" t="s">
        <v>25</v>
      </c>
      <c r="P29" s="34" t="s">
        <v>26</v>
      </c>
      <c r="Q29" s="35" t="s">
        <v>164</v>
      </c>
      <c r="R29" s="35" t="s">
        <v>161</v>
      </c>
      <c r="S29" s="35">
        <v>40</v>
      </c>
      <c r="T29" s="34">
        <v>1</v>
      </c>
      <c r="U29" s="36">
        <v>295</v>
      </c>
      <c r="V29" s="36">
        <v>540</v>
      </c>
      <c r="W29" s="36">
        <v>245</v>
      </c>
      <c r="X29" s="36">
        <f t="shared" si="0"/>
        <v>295</v>
      </c>
      <c r="Y29" s="36">
        <f t="shared" si="1"/>
        <v>540</v>
      </c>
    </row>
    <row r="30" spans="1:25" x14ac:dyDescent="0.3">
      <c r="A30" s="29" t="str">
        <f>VLOOKUP(B30,Order_Dim!A30:B117,2,1)</f>
        <v>S-129</v>
      </c>
      <c r="B30" s="27" t="s">
        <v>85</v>
      </c>
      <c r="C30" s="28">
        <v>44540</v>
      </c>
      <c r="D30" s="28" t="str">
        <f>VLOOKUP(C30,Date_Dim!A30:B117,2,1)</f>
        <v>20211210</v>
      </c>
      <c r="E30" s="29">
        <v>10</v>
      </c>
      <c r="F30" s="29" t="s">
        <v>20</v>
      </c>
      <c r="G30" s="29">
        <v>2021</v>
      </c>
      <c r="H30" s="29" t="str">
        <f>VLOOKUP(I30,'Customer_Dim'!A30:B117,2,1)</f>
        <v>C-186</v>
      </c>
      <c r="I30" s="29">
        <v>34</v>
      </c>
      <c r="J30" s="29" t="s">
        <v>36</v>
      </c>
      <c r="K30" s="29" t="s">
        <v>168</v>
      </c>
      <c r="L30" s="29" t="s">
        <v>23</v>
      </c>
      <c r="M30" s="29" t="s">
        <v>47</v>
      </c>
      <c r="N30" s="29" t="str">
        <f>VLOOKUP(O29,Product_Dim!A30:B117,2,1)</f>
        <v>P-188</v>
      </c>
      <c r="O30" s="29" t="s">
        <v>25</v>
      </c>
      <c r="P30" s="29" t="s">
        <v>26</v>
      </c>
      <c r="Q30" s="30" t="s">
        <v>165</v>
      </c>
      <c r="R30" s="30" t="s">
        <v>162</v>
      </c>
      <c r="S30" s="30">
        <v>44</v>
      </c>
      <c r="T30" s="29">
        <v>1</v>
      </c>
      <c r="U30" s="31">
        <v>1912</v>
      </c>
      <c r="V30" s="31">
        <v>3400</v>
      </c>
      <c r="W30" s="31">
        <v>1488</v>
      </c>
      <c r="X30" s="31">
        <f t="shared" si="0"/>
        <v>1912</v>
      </c>
      <c r="Y30" s="31">
        <f t="shared" si="1"/>
        <v>3400</v>
      </c>
    </row>
    <row r="31" spans="1:25" x14ac:dyDescent="0.3">
      <c r="A31" s="34" t="str">
        <f>VLOOKUP(B31,Order_Dim!A31:B118,2,1)</f>
        <v>S-130</v>
      </c>
      <c r="B31" s="32" t="s">
        <v>87</v>
      </c>
      <c r="C31" s="33">
        <v>44540</v>
      </c>
      <c r="D31" s="28" t="str">
        <f>VLOOKUP(C31,Date_Dim!A31:B118,2,1)</f>
        <v>20211210</v>
      </c>
      <c r="E31" s="34">
        <v>10</v>
      </c>
      <c r="F31" s="34" t="s">
        <v>20</v>
      </c>
      <c r="G31" s="34">
        <v>2021</v>
      </c>
      <c r="H31" s="34" t="str">
        <f>VLOOKUP(I31,'Customer_Dim'!A31:B118,2,1)</f>
        <v>C-166</v>
      </c>
      <c r="I31" s="34">
        <v>38</v>
      </c>
      <c r="J31" s="34" t="s">
        <v>21</v>
      </c>
      <c r="K31" s="34" t="s">
        <v>169</v>
      </c>
      <c r="L31" s="34" t="s">
        <v>37</v>
      </c>
      <c r="M31" s="34" t="s">
        <v>38</v>
      </c>
      <c r="N31" s="34" t="str">
        <f>VLOOKUP(O30,Product_Dim!A31:B118,2,1)</f>
        <v>P-188</v>
      </c>
      <c r="O31" s="34" t="s">
        <v>25</v>
      </c>
      <c r="P31" s="34" t="s">
        <v>26</v>
      </c>
      <c r="Q31" s="35" t="s">
        <v>160</v>
      </c>
      <c r="R31" s="35" t="s">
        <v>161</v>
      </c>
      <c r="S31" s="35">
        <v>38</v>
      </c>
      <c r="T31" s="34">
        <v>1</v>
      </c>
      <c r="U31" s="36">
        <v>1252</v>
      </c>
      <c r="V31" s="36">
        <v>2295</v>
      </c>
      <c r="W31" s="36">
        <v>1043</v>
      </c>
      <c r="X31" s="36">
        <f t="shared" si="0"/>
        <v>1252</v>
      </c>
      <c r="Y31" s="36">
        <f t="shared" si="1"/>
        <v>2295</v>
      </c>
    </row>
    <row r="32" spans="1:25" x14ac:dyDescent="0.3">
      <c r="A32" s="29" t="str">
        <f>VLOOKUP(B32,Order_Dim!A32:B119,2,1)</f>
        <v>S-131</v>
      </c>
      <c r="B32" s="27" t="s">
        <v>88</v>
      </c>
      <c r="C32" s="28">
        <v>44541</v>
      </c>
      <c r="D32" s="28" t="str">
        <f>VLOOKUP(C32,Date_Dim!A32:B119,2,1)</f>
        <v>20211211</v>
      </c>
      <c r="E32" s="29">
        <v>11</v>
      </c>
      <c r="F32" s="29" t="s">
        <v>20</v>
      </c>
      <c r="G32" s="29">
        <v>2021</v>
      </c>
      <c r="H32" s="29" t="str">
        <f>VLOOKUP(I32,'Customer_Dim'!A32:B119,2,1)</f>
        <v>C-131</v>
      </c>
      <c r="I32" s="29">
        <v>24</v>
      </c>
      <c r="J32" s="29" t="s">
        <v>43</v>
      </c>
      <c r="K32" s="29" t="s">
        <v>168</v>
      </c>
      <c r="L32" s="29" t="s">
        <v>89</v>
      </c>
      <c r="M32" s="29" t="s">
        <v>90</v>
      </c>
      <c r="N32" s="29" t="str">
        <f>VLOOKUP(O31,Product_Dim!A32:B119,2,1)</f>
        <v>P-188</v>
      </c>
      <c r="O32" s="29" t="s">
        <v>25</v>
      </c>
      <c r="P32" s="29" t="s">
        <v>26</v>
      </c>
      <c r="Q32" s="30" t="s">
        <v>160</v>
      </c>
      <c r="R32" s="30" t="s">
        <v>161</v>
      </c>
      <c r="S32" s="30">
        <v>38</v>
      </c>
      <c r="T32" s="29">
        <v>3</v>
      </c>
      <c r="U32" s="31">
        <v>1252</v>
      </c>
      <c r="V32" s="31">
        <v>2295</v>
      </c>
      <c r="W32" s="31">
        <v>3129</v>
      </c>
      <c r="X32" s="31">
        <f t="shared" si="0"/>
        <v>3756</v>
      </c>
      <c r="Y32" s="31">
        <f t="shared" si="1"/>
        <v>6885</v>
      </c>
    </row>
    <row r="33" spans="1:25" x14ac:dyDescent="0.3">
      <c r="A33" s="34" t="str">
        <f>VLOOKUP(B33,Order_Dim!A33:B120,2,1)</f>
        <v>S-132</v>
      </c>
      <c r="B33" s="32" t="s">
        <v>91</v>
      </c>
      <c r="C33" s="33">
        <v>44541</v>
      </c>
      <c r="D33" s="28" t="str">
        <f>VLOOKUP(C33,Date_Dim!A33:B120,2,1)</f>
        <v>20211211</v>
      </c>
      <c r="E33" s="34">
        <v>11</v>
      </c>
      <c r="F33" s="34" t="s">
        <v>20</v>
      </c>
      <c r="G33" s="34">
        <v>2021</v>
      </c>
      <c r="H33" s="34" t="str">
        <f>VLOOKUP(I33,'Customer_Dim'!A33:B120,2,1)</f>
        <v>C-188</v>
      </c>
      <c r="I33" s="34">
        <v>41</v>
      </c>
      <c r="J33" s="34" t="s">
        <v>21</v>
      </c>
      <c r="K33" s="34" t="s">
        <v>168</v>
      </c>
      <c r="L33" s="34" t="s">
        <v>37</v>
      </c>
      <c r="M33" s="34" t="s">
        <v>38</v>
      </c>
      <c r="N33" s="34" t="str">
        <f>VLOOKUP(O32,Product_Dim!A33:B120,2,1)</f>
        <v>P-188</v>
      </c>
      <c r="O33" s="34" t="s">
        <v>25</v>
      </c>
      <c r="P33" s="34" t="s">
        <v>26</v>
      </c>
      <c r="Q33" s="35" t="s">
        <v>163</v>
      </c>
      <c r="R33" s="35" t="s">
        <v>162</v>
      </c>
      <c r="S33" s="35">
        <v>38</v>
      </c>
      <c r="T33" s="34">
        <v>2</v>
      </c>
      <c r="U33" s="36">
        <v>420</v>
      </c>
      <c r="V33" s="36">
        <v>769</v>
      </c>
      <c r="W33" s="36">
        <v>698</v>
      </c>
      <c r="X33" s="36">
        <f t="shared" si="0"/>
        <v>840</v>
      </c>
      <c r="Y33" s="36">
        <f t="shared" si="1"/>
        <v>1538</v>
      </c>
    </row>
    <row r="34" spans="1:25" x14ac:dyDescent="0.3">
      <c r="A34" s="29" t="str">
        <f>VLOOKUP(B34,Order_Dim!A34:B121,2,1)</f>
        <v>S-133</v>
      </c>
      <c r="B34" s="27" t="s">
        <v>92</v>
      </c>
      <c r="C34" s="28">
        <v>44541</v>
      </c>
      <c r="D34" s="28" t="str">
        <f>VLOOKUP(C34,Date_Dim!A34:B121,2,1)</f>
        <v>20211211</v>
      </c>
      <c r="E34" s="29">
        <v>11</v>
      </c>
      <c r="F34" s="29" t="s">
        <v>20</v>
      </c>
      <c r="G34" s="29">
        <v>2021</v>
      </c>
      <c r="H34" s="29" t="str">
        <f>VLOOKUP(I34,'Customer_Dim'!A34:B121,2,1)</f>
        <v>C-133</v>
      </c>
      <c r="I34" s="29">
        <v>27</v>
      </c>
      <c r="J34" s="29" t="s">
        <v>36</v>
      </c>
      <c r="K34" s="29" t="s">
        <v>169</v>
      </c>
      <c r="L34" s="29" t="s">
        <v>59</v>
      </c>
      <c r="M34" s="29" t="s">
        <v>60</v>
      </c>
      <c r="N34" s="29" t="str">
        <f>VLOOKUP(O33,Product_Dim!A34:B121,2,1)</f>
        <v>P-188</v>
      </c>
      <c r="O34" s="29" t="s">
        <v>25</v>
      </c>
      <c r="P34" s="29" t="s">
        <v>26</v>
      </c>
      <c r="Q34" s="30" t="s">
        <v>160</v>
      </c>
      <c r="R34" s="30" t="s">
        <v>161</v>
      </c>
      <c r="S34" s="30">
        <v>46</v>
      </c>
      <c r="T34" s="29">
        <v>1</v>
      </c>
      <c r="U34" s="31">
        <v>1252</v>
      </c>
      <c r="V34" s="31">
        <v>2295</v>
      </c>
      <c r="W34" s="31">
        <v>1043</v>
      </c>
      <c r="X34" s="31">
        <f t="shared" ref="X34:X65" si="2">T34*U34</f>
        <v>1252</v>
      </c>
      <c r="Y34" s="31">
        <f t="shared" ref="Y34:Y65" si="3">T34*V34</f>
        <v>2295</v>
      </c>
    </row>
    <row r="35" spans="1:25" x14ac:dyDescent="0.3">
      <c r="A35" s="34" t="str">
        <f>VLOOKUP(B35,Order_Dim!A35:B122,2,1)</f>
        <v>S-134</v>
      </c>
      <c r="B35" s="32" t="s">
        <v>93</v>
      </c>
      <c r="C35" s="33">
        <v>44541</v>
      </c>
      <c r="D35" s="28" t="str">
        <f>VLOOKUP(C35,Date_Dim!A35:B122,2,1)</f>
        <v>20211211</v>
      </c>
      <c r="E35" s="34">
        <v>11</v>
      </c>
      <c r="F35" s="34" t="s">
        <v>20</v>
      </c>
      <c r="G35" s="34">
        <v>2021</v>
      </c>
      <c r="H35" s="34" t="str">
        <f>VLOOKUP(I35,'Customer_Dim'!A35:B122,2,1)</f>
        <v>C-187</v>
      </c>
      <c r="I35" s="34">
        <v>37</v>
      </c>
      <c r="J35" s="34" t="s">
        <v>21</v>
      </c>
      <c r="K35" s="34" t="s">
        <v>169</v>
      </c>
      <c r="L35" s="34" t="s">
        <v>23</v>
      </c>
      <c r="M35" s="34" t="s">
        <v>24</v>
      </c>
      <c r="N35" s="34" t="str">
        <f>VLOOKUP(O34,Product_Dim!A35:B122,2,1)</f>
        <v>P-188</v>
      </c>
      <c r="O35" s="34" t="s">
        <v>25</v>
      </c>
      <c r="P35" s="34" t="s">
        <v>26</v>
      </c>
      <c r="Q35" s="35" t="s">
        <v>163</v>
      </c>
      <c r="R35" s="35" t="s">
        <v>162</v>
      </c>
      <c r="S35" s="35">
        <v>46</v>
      </c>
      <c r="T35" s="34">
        <v>1</v>
      </c>
      <c r="U35" s="36">
        <v>420</v>
      </c>
      <c r="V35" s="36">
        <v>769</v>
      </c>
      <c r="W35" s="36">
        <v>349</v>
      </c>
      <c r="X35" s="36">
        <f t="shared" si="2"/>
        <v>420</v>
      </c>
      <c r="Y35" s="36">
        <f t="shared" si="3"/>
        <v>769</v>
      </c>
    </row>
    <row r="36" spans="1:25" x14ac:dyDescent="0.3">
      <c r="A36" s="29" t="str">
        <f>VLOOKUP(B36,Order_Dim!A36:B123,2,1)</f>
        <v>S-135</v>
      </c>
      <c r="B36" s="27" t="s">
        <v>94</v>
      </c>
      <c r="C36" s="28">
        <v>44541</v>
      </c>
      <c r="D36" s="28" t="str">
        <f>VLOOKUP(C36,Date_Dim!A36:B123,2,1)</f>
        <v>20211211</v>
      </c>
      <c r="E36" s="29">
        <v>11</v>
      </c>
      <c r="F36" s="29" t="s">
        <v>20</v>
      </c>
      <c r="G36" s="29">
        <v>2021</v>
      </c>
      <c r="H36" s="29" t="str">
        <f>VLOOKUP(I36,'Customer_Dim'!A36:B123,2,1)</f>
        <v>C-188</v>
      </c>
      <c r="I36" s="29">
        <v>38</v>
      </c>
      <c r="J36" s="29" t="s">
        <v>21</v>
      </c>
      <c r="K36" s="29" t="s">
        <v>168</v>
      </c>
      <c r="L36" s="29" t="s">
        <v>23</v>
      </c>
      <c r="M36" s="29" t="s">
        <v>24</v>
      </c>
      <c r="N36" s="29" t="str">
        <f>VLOOKUP(O35,Product_Dim!A36:B123,2,1)</f>
        <v>P-188</v>
      </c>
      <c r="O36" s="29" t="s">
        <v>25</v>
      </c>
      <c r="P36" s="29" t="s">
        <v>26</v>
      </c>
      <c r="Q36" s="30" t="s">
        <v>160</v>
      </c>
      <c r="R36" s="30" t="s">
        <v>162</v>
      </c>
      <c r="S36" s="30">
        <v>38</v>
      </c>
      <c r="T36" s="29">
        <v>1</v>
      </c>
      <c r="U36" s="31">
        <v>1266</v>
      </c>
      <c r="V36" s="31">
        <v>2320</v>
      </c>
      <c r="W36" s="31">
        <v>1054</v>
      </c>
      <c r="X36" s="31">
        <f t="shared" si="2"/>
        <v>1266</v>
      </c>
      <c r="Y36" s="31">
        <f t="shared" si="3"/>
        <v>2320</v>
      </c>
    </row>
    <row r="37" spans="1:25" x14ac:dyDescent="0.3">
      <c r="A37" s="34" t="str">
        <f>VLOOKUP(B37,Order_Dim!A37:B124,2,1)</f>
        <v>S-136</v>
      </c>
      <c r="B37" s="32" t="s">
        <v>95</v>
      </c>
      <c r="C37" s="33">
        <v>44542</v>
      </c>
      <c r="D37" s="28" t="str">
        <f>VLOOKUP(C37,Date_Dim!A37:B124,2,1)</f>
        <v>20211212</v>
      </c>
      <c r="E37" s="34">
        <v>12</v>
      </c>
      <c r="F37" s="34" t="s">
        <v>20</v>
      </c>
      <c r="G37" s="34">
        <v>2021</v>
      </c>
      <c r="H37" s="34" t="str">
        <f>VLOOKUP(I37,'Customer_Dim'!A37:B124,2,1)</f>
        <v>C-183</v>
      </c>
      <c r="I37" s="34">
        <v>36</v>
      </c>
      <c r="J37" s="34" t="s">
        <v>21</v>
      </c>
      <c r="K37" s="34" t="s">
        <v>168</v>
      </c>
      <c r="L37" s="34" t="s">
        <v>37</v>
      </c>
      <c r="M37" s="34" t="s">
        <v>38</v>
      </c>
      <c r="N37" s="34" t="str">
        <f>VLOOKUP(O36,Product_Dim!A37:B124,2,1)</f>
        <v>P-188</v>
      </c>
      <c r="O37" s="34" t="s">
        <v>25</v>
      </c>
      <c r="P37" s="34" t="s">
        <v>26</v>
      </c>
      <c r="Q37" s="35" t="s">
        <v>160</v>
      </c>
      <c r="R37" s="35" t="s">
        <v>162</v>
      </c>
      <c r="S37" s="35">
        <v>42</v>
      </c>
      <c r="T37" s="34">
        <v>4</v>
      </c>
      <c r="U37" s="36">
        <v>1266</v>
      </c>
      <c r="V37" s="36">
        <v>2320</v>
      </c>
      <c r="W37" s="36">
        <v>4216</v>
      </c>
      <c r="X37" s="36">
        <f t="shared" si="2"/>
        <v>5064</v>
      </c>
      <c r="Y37" s="36">
        <f t="shared" si="3"/>
        <v>9280</v>
      </c>
    </row>
    <row r="38" spans="1:25" x14ac:dyDescent="0.3">
      <c r="A38" s="29" t="str">
        <f>VLOOKUP(B38,Order_Dim!A38:B125,2,1)</f>
        <v>S-137</v>
      </c>
      <c r="B38" s="27" t="s">
        <v>96</v>
      </c>
      <c r="C38" s="28">
        <v>44542</v>
      </c>
      <c r="D38" s="28" t="str">
        <f>VLOOKUP(C38,Date_Dim!A38:B125,2,1)</f>
        <v>20211212</v>
      </c>
      <c r="E38" s="29">
        <v>12</v>
      </c>
      <c r="F38" s="29" t="s">
        <v>20</v>
      </c>
      <c r="G38" s="29">
        <v>2021</v>
      </c>
      <c r="H38" s="29" t="str">
        <f>VLOOKUP(I38,'Customer_Dim'!A38:B125,2,1)</f>
        <v>C-179</v>
      </c>
      <c r="I38" s="29">
        <v>37</v>
      </c>
      <c r="J38" s="29" t="s">
        <v>21</v>
      </c>
      <c r="K38" s="29" t="s">
        <v>169</v>
      </c>
      <c r="L38" s="29" t="s">
        <v>23</v>
      </c>
      <c r="M38" s="29" t="s">
        <v>24</v>
      </c>
      <c r="N38" s="29" t="str">
        <f>VLOOKUP(O37,Product_Dim!A38:B125,2,1)</f>
        <v>P-188</v>
      </c>
      <c r="O38" s="29" t="s">
        <v>25</v>
      </c>
      <c r="P38" s="29" t="s">
        <v>26</v>
      </c>
      <c r="Q38" s="30" t="s">
        <v>163</v>
      </c>
      <c r="R38" s="30" t="s">
        <v>162</v>
      </c>
      <c r="S38" s="30">
        <v>46</v>
      </c>
      <c r="T38" s="29">
        <v>4</v>
      </c>
      <c r="U38" s="31">
        <v>420</v>
      </c>
      <c r="V38" s="31">
        <v>769</v>
      </c>
      <c r="W38" s="31">
        <v>1396</v>
      </c>
      <c r="X38" s="31">
        <f t="shared" si="2"/>
        <v>1680</v>
      </c>
      <c r="Y38" s="31">
        <f t="shared" si="3"/>
        <v>3076</v>
      </c>
    </row>
    <row r="39" spans="1:25" x14ac:dyDescent="0.3">
      <c r="A39" s="34" t="str">
        <f>VLOOKUP(B39,Order_Dim!A39:B126,2,1)</f>
        <v>S-138</v>
      </c>
      <c r="B39" s="32" t="s">
        <v>97</v>
      </c>
      <c r="C39" s="33">
        <v>44542</v>
      </c>
      <c r="D39" s="28" t="str">
        <f>VLOOKUP(C39,Date_Dim!A39:B126,2,1)</f>
        <v>20211212</v>
      </c>
      <c r="E39" s="34">
        <v>12</v>
      </c>
      <c r="F39" s="34" t="s">
        <v>20</v>
      </c>
      <c r="G39" s="34">
        <v>2021</v>
      </c>
      <c r="H39" s="34" t="str">
        <f>VLOOKUP(I39,'Customer_Dim'!A39:B126,2,1)</f>
        <v>C-186</v>
      </c>
      <c r="I39" s="34">
        <v>34</v>
      </c>
      <c r="J39" s="34" t="s">
        <v>36</v>
      </c>
      <c r="K39" s="34" t="s">
        <v>169</v>
      </c>
      <c r="L39" s="34" t="s">
        <v>37</v>
      </c>
      <c r="M39" s="34" t="s">
        <v>38</v>
      </c>
      <c r="N39" s="34" t="str">
        <f>VLOOKUP(O38,Product_Dim!A39:B126,2,1)</f>
        <v>P-188</v>
      </c>
      <c r="O39" s="34" t="s">
        <v>25</v>
      </c>
      <c r="P39" s="34" t="s">
        <v>26</v>
      </c>
      <c r="Q39" s="35" t="s">
        <v>160</v>
      </c>
      <c r="R39" s="35" t="s">
        <v>161</v>
      </c>
      <c r="S39" s="35">
        <v>38</v>
      </c>
      <c r="T39" s="34">
        <v>2</v>
      </c>
      <c r="U39" s="36">
        <v>1252</v>
      </c>
      <c r="V39" s="36">
        <v>2295</v>
      </c>
      <c r="W39" s="36">
        <v>2086</v>
      </c>
      <c r="X39" s="36">
        <f t="shared" si="2"/>
        <v>2504</v>
      </c>
      <c r="Y39" s="36">
        <f t="shared" si="3"/>
        <v>4590</v>
      </c>
    </row>
    <row r="40" spans="1:25" x14ac:dyDescent="0.3">
      <c r="A40" s="29" t="str">
        <f>VLOOKUP(B40,Order_Dim!A40:B127,2,1)</f>
        <v>S-139</v>
      </c>
      <c r="B40" s="27" t="s">
        <v>98</v>
      </c>
      <c r="C40" s="28">
        <v>44542</v>
      </c>
      <c r="D40" s="28" t="str">
        <f>VLOOKUP(C40,Date_Dim!A40:B127,2,1)</f>
        <v>20211212</v>
      </c>
      <c r="E40" s="29">
        <v>12</v>
      </c>
      <c r="F40" s="29" t="s">
        <v>20</v>
      </c>
      <c r="G40" s="29">
        <v>2021</v>
      </c>
      <c r="H40" s="29" t="str">
        <f>VLOOKUP(I40,'Customer_Dim'!A40:B127,2,1)</f>
        <v>C-187</v>
      </c>
      <c r="I40" s="29">
        <v>35</v>
      </c>
      <c r="J40" s="29" t="s">
        <v>21</v>
      </c>
      <c r="K40" s="29" t="s">
        <v>168</v>
      </c>
      <c r="L40" s="29" t="s">
        <v>37</v>
      </c>
      <c r="M40" s="29" t="s">
        <v>76</v>
      </c>
      <c r="N40" s="29" t="str">
        <f>VLOOKUP(O39,Product_Dim!A40:B127,2,1)</f>
        <v>P-188</v>
      </c>
      <c r="O40" s="29" t="s">
        <v>25</v>
      </c>
      <c r="P40" s="29" t="s">
        <v>26</v>
      </c>
      <c r="Q40" s="30" t="s">
        <v>160</v>
      </c>
      <c r="R40" s="30" t="s">
        <v>162</v>
      </c>
      <c r="S40" s="30">
        <v>42</v>
      </c>
      <c r="T40" s="29">
        <v>1</v>
      </c>
      <c r="U40" s="31">
        <v>1266</v>
      </c>
      <c r="V40" s="31">
        <v>2320</v>
      </c>
      <c r="W40" s="31">
        <v>1054</v>
      </c>
      <c r="X40" s="31">
        <f t="shared" si="2"/>
        <v>1266</v>
      </c>
      <c r="Y40" s="31">
        <f t="shared" si="3"/>
        <v>2320</v>
      </c>
    </row>
    <row r="41" spans="1:25" x14ac:dyDescent="0.3">
      <c r="A41" s="34" t="str">
        <f>VLOOKUP(B41,Order_Dim!A41:B128,2,1)</f>
        <v>S-140</v>
      </c>
      <c r="B41" s="32" t="s">
        <v>99</v>
      </c>
      <c r="C41" s="33">
        <v>44542</v>
      </c>
      <c r="D41" s="28" t="str">
        <f>VLOOKUP(C41,Date_Dim!A41:B128,2,1)</f>
        <v>20211212</v>
      </c>
      <c r="E41" s="34">
        <v>12</v>
      </c>
      <c r="F41" s="34" t="s">
        <v>20</v>
      </c>
      <c r="G41" s="34">
        <v>2021</v>
      </c>
      <c r="H41" s="34" t="str">
        <f>VLOOKUP(I41,'Customer_Dim'!A41:B128,2,1)</f>
        <v>C-188</v>
      </c>
      <c r="I41" s="34">
        <v>38</v>
      </c>
      <c r="J41" s="34" t="s">
        <v>21</v>
      </c>
      <c r="K41" s="34" t="s">
        <v>168</v>
      </c>
      <c r="L41" s="34" t="s">
        <v>23</v>
      </c>
      <c r="M41" s="34" t="s">
        <v>47</v>
      </c>
      <c r="N41" s="34" t="str">
        <f>VLOOKUP(O40,Product_Dim!A41:B128,2,1)</f>
        <v>P-188</v>
      </c>
      <c r="O41" s="34" t="s">
        <v>25</v>
      </c>
      <c r="P41" s="34" t="s">
        <v>26</v>
      </c>
      <c r="Q41" s="35" t="s">
        <v>160</v>
      </c>
      <c r="R41" s="35" t="s">
        <v>162</v>
      </c>
      <c r="S41" s="35">
        <v>42</v>
      </c>
      <c r="T41" s="34">
        <v>1</v>
      </c>
      <c r="U41" s="36">
        <v>1266</v>
      </c>
      <c r="V41" s="36">
        <v>2320</v>
      </c>
      <c r="W41" s="36">
        <v>1054</v>
      </c>
      <c r="X41" s="36">
        <f t="shared" si="2"/>
        <v>1266</v>
      </c>
      <c r="Y41" s="36">
        <f t="shared" si="3"/>
        <v>2320</v>
      </c>
    </row>
    <row r="42" spans="1:25" x14ac:dyDescent="0.3">
      <c r="A42" s="29" t="str">
        <f>VLOOKUP(B42,Order_Dim!A42:B129,2,1)</f>
        <v>S-141</v>
      </c>
      <c r="B42" s="27" t="s">
        <v>100</v>
      </c>
      <c r="C42" s="28">
        <v>44543</v>
      </c>
      <c r="D42" s="28" t="str">
        <f>VLOOKUP(C42,Date_Dim!A42:B129,2,1)</f>
        <v>20211213</v>
      </c>
      <c r="E42" s="29">
        <v>13</v>
      </c>
      <c r="F42" s="29" t="s">
        <v>20</v>
      </c>
      <c r="G42" s="29">
        <v>2021</v>
      </c>
      <c r="H42" s="29" t="str">
        <f>VLOOKUP(I42,'Customer_Dim'!A42:B129,2,1)</f>
        <v>C-164</v>
      </c>
      <c r="I42" s="29">
        <v>32</v>
      </c>
      <c r="J42" s="29" t="s">
        <v>36</v>
      </c>
      <c r="K42" s="29" t="s">
        <v>168</v>
      </c>
      <c r="L42" s="29" t="s">
        <v>37</v>
      </c>
      <c r="M42" s="29" t="s">
        <v>54</v>
      </c>
      <c r="N42" s="29" t="str">
        <f>VLOOKUP(O41,Product_Dim!A42:B129,2,1)</f>
        <v>P-188</v>
      </c>
      <c r="O42" s="29" t="s">
        <v>25</v>
      </c>
      <c r="P42" s="29" t="s">
        <v>26</v>
      </c>
      <c r="Q42" s="30" t="s">
        <v>160</v>
      </c>
      <c r="R42" s="30" t="s">
        <v>162</v>
      </c>
      <c r="S42" s="30">
        <v>42</v>
      </c>
      <c r="T42" s="29">
        <v>3</v>
      </c>
      <c r="U42" s="31">
        <v>1266</v>
      </c>
      <c r="V42" s="31">
        <v>2320</v>
      </c>
      <c r="W42" s="31">
        <v>3162</v>
      </c>
      <c r="X42" s="31">
        <f t="shared" si="2"/>
        <v>3798</v>
      </c>
      <c r="Y42" s="31">
        <f t="shared" si="3"/>
        <v>6960</v>
      </c>
    </row>
    <row r="43" spans="1:25" x14ac:dyDescent="0.3">
      <c r="A43" s="34" t="str">
        <f>VLOOKUP(B43,Order_Dim!A43:B130,2,1)</f>
        <v>S-142</v>
      </c>
      <c r="B43" s="32" t="s">
        <v>101</v>
      </c>
      <c r="C43" s="33">
        <v>44543</v>
      </c>
      <c r="D43" s="28" t="str">
        <f>VLOOKUP(C43,Date_Dim!A43:B130,2,1)</f>
        <v>20211213</v>
      </c>
      <c r="E43" s="34">
        <v>13</v>
      </c>
      <c r="F43" s="34" t="s">
        <v>20</v>
      </c>
      <c r="G43" s="34">
        <v>2021</v>
      </c>
      <c r="H43" s="34" t="str">
        <f>VLOOKUP(I43,'Customer_Dim'!A43:B130,2,1)</f>
        <v>C-188</v>
      </c>
      <c r="I43" s="34">
        <v>40</v>
      </c>
      <c r="J43" s="34" t="s">
        <v>21</v>
      </c>
      <c r="K43" s="34" t="s">
        <v>168</v>
      </c>
      <c r="L43" s="34" t="s">
        <v>23</v>
      </c>
      <c r="M43" s="34" t="s">
        <v>24</v>
      </c>
      <c r="N43" s="34" t="str">
        <f>VLOOKUP(O42,Product_Dim!A43:B130,2,1)</f>
        <v>P-188</v>
      </c>
      <c r="O43" s="34" t="s">
        <v>25</v>
      </c>
      <c r="P43" s="34" t="s">
        <v>26</v>
      </c>
      <c r="Q43" s="35" t="s">
        <v>164</v>
      </c>
      <c r="R43" s="35" t="s">
        <v>162</v>
      </c>
      <c r="S43" s="35">
        <v>40</v>
      </c>
      <c r="T43" s="34">
        <v>1</v>
      </c>
      <c r="U43" s="36">
        <v>308</v>
      </c>
      <c r="V43" s="36">
        <v>565</v>
      </c>
      <c r="W43" s="36">
        <v>257</v>
      </c>
      <c r="X43" s="36">
        <f t="shared" si="2"/>
        <v>308</v>
      </c>
      <c r="Y43" s="36">
        <f t="shared" si="3"/>
        <v>565</v>
      </c>
    </row>
    <row r="44" spans="1:25" x14ac:dyDescent="0.3">
      <c r="A44" s="29" t="str">
        <f>VLOOKUP(B44,Order_Dim!A44:B131,2,1)</f>
        <v>S-143</v>
      </c>
      <c r="B44" s="27" t="s">
        <v>103</v>
      </c>
      <c r="C44" s="28">
        <v>44543</v>
      </c>
      <c r="D44" s="28" t="str">
        <f>VLOOKUP(C44,Date_Dim!A44:B131,2,1)</f>
        <v>20211213</v>
      </c>
      <c r="E44" s="29">
        <v>13</v>
      </c>
      <c r="F44" s="29" t="s">
        <v>20</v>
      </c>
      <c r="G44" s="29">
        <v>2021</v>
      </c>
      <c r="H44" s="29" t="str">
        <f>VLOOKUP(I44,'Customer_Dim'!A44:B131,2,1)</f>
        <v>C-188</v>
      </c>
      <c r="I44" s="29">
        <v>44</v>
      </c>
      <c r="J44" s="29" t="s">
        <v>21</v>
      </c>
      <c r="K44" s="29" t="s">
        <v>168</v>
      </c>
      <c r="L44" s="29" t="s">
        <v>29</v>
      </c>
      <c r="M44" s="29" t="s">
        <v>30</v>
      </c>
      <c r="N44" s="29" t="str">
        <f>VLOOKUP(O43,Product_Dim!A44:B131,2,1)</f>
        <v>P-188</v>
      </c>
      <c r="O44" s="29" t="s">
        <v>25</v>
      </c>
      <c r="P44" s="29" t="s">
        <v>26</v>
      </c>
      <c r="Q44" s="30" t="s">
        <v>160</v>
      </c>
      <c r="R44" s="30" t="s">
        <v>161</v>
      </c>
      <c r="S44" s="30">
        <v>38</v>
      </c>
      <c r="T44" s="29">
        <v>1</v>
      </c>
      <c r="U44" s="31">
        <v>1252</v>
      </c>
      <c r="V44" s="31">
        <v>2295</v>
      </c>
      <c r="W44" s="31">
        <v>1043</v>
      </c>
      <c r="X44" s="31">
        <f t="shared" si="2"/>
        <v>1252</v>
      </c>
      <c r="Y44" s="31">
        <f t="shared" si="3"/>
        <v>2295</v>
      </c>
    </row>
    <row r="45" spans="1:25" x14ac:dyDescent="0.3">
      <c r="A45" s="34" t="str">
        <f>VLOOKUP(B45,Order_Dim!A45:B132,2,1)</f>
        <v>S-144</v>
      </c>
      <c r="B45" s="32" t="s">
        <v>104</v>
      </c>
      <c r="C45" s="33">
        <v>44543</v>
      </c>
      <c r="D45" s="28" t="str">
        <f>VLOOKUP(C45,Date_Dim!A45:B132,2,1)</f>
        <v>20211213</v>
      </c>
      <c r="E45" s="34">
        <v>13</v>
      </c>
      <c r="F45" s="34" t="s">
        <v>20</v>
      </c>
      <c r="G45" s="34">
        <v>2021</v>
      </c>
      <c r="H45" s="34" t="str">
        <f>VLOOKUP(I45,'Customer_Dim'!A45:B132,2,1)</f>
        <v>C-188</v>
      </c>
      <c r="I45" s="34">
        <v>49</v>
      </c>
      <c r="J45" s="34" t="s">
        <v>21</v>
      </c>
      <c r="K45" s="34" t="s">
        <v>169</v>
      </c>
      <c r="L45" s="34" t="s">
        <v>29</v>
      </c>
      <c r="M45" s="34" t="s">
        <v>30</v>
      </c>
      <c r="N45" s="34" t="str">
        <f>VLOOKUP(O44,Product_Dim!A45:B132,2,1)</f>
        <v>P-188</v>
      </c>
      <c r="O45" s="34" t="s">
        <v>25</v>
      </c>
      <c r="P45" s="34" t="s">
        <v>26</v>
      </c>
      <c r="Q45" s="35" t="s">
        <v>160</v>
      </c>
      <c r="R45" s="35" t="s">
        <v>161</v>
      </c>
      <c r="S45" s="35">
        <v>38</v>
      </c>
      <c r="T45" s="34">
        <v>1</v>
      </c>
      <c r="U45" s="36">
        <v>1252</v>
      </c>
      <c r="V45" s="36">
        <v>2295</v>
      </c>
      <c r="W45" s="36">
        <v>1043</v>
      </c>
      <c r="X45" s="36">
        <f t="shared" si="2"/>
        <v>1252</v>
      </c>
      <c r="Y45" s="36">
        <f t="shared" si="3"/>
        <v>2295</v>
      </c>
    </row>
    <row r="46" spans="1:25" x14ac:dyDescent="0.3">
      <c r="A46" s="29" t="str">
        <f>VLOOKUP(B46,Order_Dim!A46:B133,2,1)</f>
        <v>S-145</v>
      </c>
      <c r="B46" s="27" t="s">
        <v>105</v>
      </c>
      <c r="C46" s="28">
        <v>44544</v>
      </c>
      <c r="D46" s="28" t="str">
        <f>VLOOKUP(C46,Date_Dim!A46:B133,2,1)</f>
        <v>20211214</v>
      </c>
      <c r="E46" s="29">
        <v>14</v>
      </c>
      <c r="F46" s="29" t="s">
        <v>20</v>
      </c>
      <c r="G46" s="29">
        <v>2021</v>
      </c>
      <c r="H46" s="29" t="str">
        <f>VLOOKUP(I46,'Customer_Dim'!A46:B133,2,1)</f>
        <v>C-145</v>
      </c>
      <c r="I46" s="29">
        <v>30</v>
      </c>
      <c r="J46" s="29" t="s">
        <v>36</v>
      </c>
      <c r="K46" s="29" t="s">
        <v>168</v>
      </c>
      <c r="L46" s="29" t="s">
        <v>23</v>
      </c>
      <c r="M46" s="29" t="s">
        <v>47</v>
      </c>
      <c r="N46" s="29" t="str">
        <f>VLOOKUP(O45,Product_Dim!A46:B133,2,1)</f>
        <v>P-188</v>
      </c>
      <c r="O46" s="29" t="s">
        <v>25</v>
      </c>
      <c r="P46" s="29" t="s">
        <v>26</v>
      </c>
      <c r="Q46" s="30" t="s">
        <v>160</v>
      </c>
      <c r="R46" s="30" t="s">
        <v>162</v>
      </c>
      <c r="S46" s="30">
        <v>38</v>
      </c>
      <c r="T46" s="29">
        <v>2</v>
      </c>
      <c r="U46" s="31">
        <v>1266</v>
      </c>
      <c r="V46" s="31">
        <v>2320</v>
      </c>
      <c r="W46" s="31">
        <v>2108</v>
      </c>
      <c r="X46" s="31">
        <f t="shared" si="2"/>
        <v>2532</v>
      </c>
      <c r="Y46" s="31">
        <f t="shared" si="3"/>
        <v>4640</v>
      </c>
    </row>
    <row r="47" spans="1:25" x14ac:dyDescent="0.3">
      <c r="A47" s="34" t="str">
        <f>VLOOKUP(B47,Order_Dim!A47:B134,2,1)</f>
        <v>S-146</v>
      </c>
      <c r="B47" s="32" t="s">
        <v>106</v>
      </c>
      <c r="C47" s="33">
        <v>44544</v>
      </c>
      <c r="D47" s="28" t="str">
        <f>VLOOKUP(C47,Date_Dim!A47:B134,2,1)</f>
        <v>20211214</v>
      </c>
      <c r="E47" s="34">
        <v>14</v>
      </c>
      <c r="F47" s="34" t="s">
        <v>20</v>
      </c>
      <c r="G47" s="34">
        <v>2021</v>
      </c>
      <c r="H47" s="34" t="str">
        <f>VLOOKUP(I47,'Customer_Dim'!A47:B134,2,1)</f>
        <v>C-147</v>
      </c>
      <c r="I47" s="34">
        <v>32</v>
      </c>
      <c r="J47" s="34" t="s">
        <v>36</v>
      </c>
      <c r="K47" s="34" t="s">
        <v>169</v>
      </c>
      <c r="L47" s="34" t="s">
        <v>23</v>
      </c>
      <c r="M47" s="34" t="s">
        <v>24</v>
      </c>
      <c r="N47" s="34" t="str">
        <f>VLOOKUP(O46,Product_Dim!A47:B134,2,1)</f>
        <v>P-188</v>
      </c>
      <c r="O47" s="34" t="s">
        <v>25</v>
      </c>
      <c r="P47" s="34" t="s">
        <v>26</v>
      </c>
      <c r="Q47" s="35" t="s">
        <v>160</v>
      </c>
      <c r="R47" s="35" t="s">
        <v>161</v>
      </c>
      <c r="S47" s="35">
        <v>46</v>
      </c>
      <c r="T47" s="34">
        <v>1</v>
      </c>
      <c r="U47" s="36">
        <v>1252</v>
      </c>
      <c r="V47" s="36">
        <v>2295</v>
      </c>
      <c r="W47" s="36">
        <v>1043</v>
      </c>
      <c r="X47" s="36">
        <f t="shared" si="2"/>
        <v>1252</v>
      </c>
      <c r="Y47" s="36">
        <f t="shared" si="3"/>
        <v>2295</v>
      </c>
    </row>
    <row r="48" spans="1:25" x14ac:dyDescent="0.3">
      <c r="A48" s="29" t="str">
        <f>VLOOKUP(B48,Order_Dim!A48:B135,2,1)</f>
        <v>S-147</v>
      </c>
      <c r="B48" s="27" t="s">
        <v>107</v>
      </c>
      <c r="C48" s="28">
        <v>44544</v>
      </c>
      <c r="D48" s="28" t="str">
        <f>VLOOKUP(C48,Date_Dim!A48:B135,2,1)</f>
        <v>20211214</v>
      </c>
      <c r="E48" s="29">
        <v>14</v>
      </c>
      <c r="F48" s="29" t="s">
        <v>20</v>
      </c>
      <c r="G48" s="29">
        <v>2021</v>
      </c>
      <c r="H48" s="29" t="str">
        <f>VLOOKUP(I48,'Customer_Dim'!A48:B135,2,1)</f>
        <v>C-164</v>
      </c>
      <c r="I48" s="29">
        <v>32</v>
      </c>
      <c r="J48" s="29" t="s">
        <v>36</v>
      </c>
      <c r="K48" s="29" t="s">
        <v>168</v>
      </c>
      <c r="L48" s="29" t="s">
        <v>37</v>
      </c>
      <c r="M48" s="29" t="s">
        <v>76</v>
      </c>
      <c r="N48" s="29" t="str">
        <f>VLOOKUP(O47,Product_Dim!A48:B135,2,1)</f>
        <v>P-188</v>
      </c>
      <c r="O48" s="29" t="s">
        <v>25</v>
      </c>
      <c r="P48" s="29" t="s">
        <v>26</v>
      </c>
      <c r="Q48" s="30" t="s">
        <v>163</v>
      </c>
      <c r="R48" s="30" t="s">
        <v>162</v>
      </c>
      <c r="S48" s="30">
        <v>46</v>
      </c>
      <c r="T48" s="29">
        <v>1</v>
      </c>
      <c r="U48" s="31">
        <v>420</v>
      </c>
      <c r="V48" s="31">
        <v>769</v>
      </c>
      <c r="W48" s="31">
        <v>349</v>
      </c>
      <c r="X48" s="31">
        <f t="shared" si="2"/>
        <v>420</v>
      </c>
      <c r="Y48" s="31">
        <f t="shared" si="3"/>
        <v>769</v>
      </c>
    </row>
    <row r="49" spans="1:25" x14ac:dyDescent="0.3">
      <c r="A49" s="34" t="str">
        <f>VLOOKUP(B49,Order_Dim!A49:B136,2,1)</f>
        <v>S-148</v>
      </c>
      <c r="B49" s="32" t="s">
        <v>108</v>
      </c>
      <c r="C49" s="33">
        <v>44545</v>
      </c>
      <c r="D49" s="28" t="str">
        <f>VLOOKUP(C49,Date_Dim!A49:B136,2,1)</f>
        <v>20211215</v>
      </c>
      <c r="E49" s="34">
        <v>15</v>
      </c>
      <c r="F49" s="34" t="s">
        <v>20</v>
      </c>
      <c r="G49" s="34">
        <v>2021</v>
      </c>
      <c r="H49" s="34" t="str">
        <f>VLOOKUP(I49,'Customer_Dim'!A49:B136,2,1)</f>
        <v>C-174</v>
      </c>
      <c r="I49" s="34">
        <v>29</v>
      </c>
      <c r="J49" s="34" t="s">
        <v>36</v>
      </c>
      <c r="K49" s="34" t="s">
        <v>168</v>
      </c>
      <c r="L49" s="34" t="s">
        <v>23</v>
      </c>
      <c r="M49" s="34" t="s">
        <v>24</v>
      </c>
      <c r="N49" s="34" t="str">
        <f>VLOOKUP(O48,Product_Dim!A49:B136,2,1)</f>
        <v>P-188</v>
      </c>
      <c r="O49" s="34" t="s">
        <v>25</v>
      </c>
      <c r="P49" s="34" t="s">
        <v>26</v>
      </c>
      <c r="Q49" s="35" t="s">
        <v>160</v>
      </c>
      <c r="R49" s="35" t="s">
        <v>162</v>
      </c>
      <c r="S49" s="35">
        <v>42</v>
      </c>
      <c r="T49" s="34">
        <v>1</v>
      </c>
      <c r="U49" s="36">
        <v>1266</v>
      </c>
      <c r="V49" s="36">
        <v>2320</v>
      </c>
      <c r="W49" s="36">
        <v>1054</v>
      </c>
      <c r="X49" s="36">
        <f t="shared" si="2"/>
        <v>1266</v>
      </c>
      <c r="Y49" s="36">
        <f t="shared" si="3"/>
        <v>2320</v>
      </c>
    </row>
    <row r="50" spans="1:25" x14ac:dyDescent="0.3">
      <c r="A50" s="29" t="str">
        <f>VLOOKUP(B50,Order_Dim!A50:B137,2,1)</f>
        <v>S-149</v>
      </c>
      <c r="B50" s="27" t="s">
        <v>109</v>
      </c>
      <c r="C50" s="28">
        <v>44546</v>
      </c>
      <c r="D50" s="28" t="str">
        <f>VLOOKUP(C50,Date_Dim!A50:B137,2,1)</f>
        <v>20211216</v>
      </c>
      <c r="E50" s="29">
        <v>16</v>
      </c>
      <c r="F50" s="29" t="s">
        <v>20</v>
      </c>
      <c r="G50" s="29">
        <v>2021</v>
      </c>
      <c r="H50" s="29" t="str">
        <f>VLOOKUP(I50,'Customer_Dim'!A50:B137,2,1)</f>
        <v>C-153</v>
      </c>
      <c r="I50" s="29">
        <v>33</v>
      </c>
      <c r="J50" s="29" t="s">
        <v>36</v>
      </c>
      <c r="K50" s="29" t="s">
        <v>168</v>
      </c>
      <c r="L50" s="29" t="s">
        <v>37</v>
      </c>
      <c r="M50" s="29" t="s">
        <v>38</v>
      </c>
      <c r="N50" s="29" t="str">
        <f>VLOOKUP(O49,Product_Dim!A50:B137,2,1)</f>
        <v>P-188</v>
      </c>
      <c r="O50" s="29" t="s">
        <v>25</v>
      </c>
      <c r="P50" s="29" t="s">
        <v>26</v>
      </c>
      <c r="Q50" s="30" t="s">
        <v>160</v>
      </c>
      <c r="R50" s="30" t="s">
        <v>161</v>
      </c>
      <c r="S50" s="30">
        <v>38</v>
      </c>
      <c r="T50" s="29">
        <v>2</v>
      </c>
      <c r="U50" s="31">
        <v>1252</v>
      </c>
      <c r="V50" s="31">
        <v>2295</v>
      </c>
      <c r="W50" s="31">
        <v>2086</v>
      </c>
      <c r="X50" s="31">
        <f t="shared" si="2"/>
        <v>2504</v>
      </c>
      <c r="Y50" s="31">
        <f t="shared" si="3"/>
        <v>4590</v>
      </c>
    </row>
    <row r="51" spans="1:25" x14ac:dyDescent="0.3">
      <c r="A51" s="34" t="str">
        <f>VLOOKUP(B51,Order_Dim!A51:B138,2,1)</f>
        <v>S-150</v>
      </c>
      <c r="B51" s="32" t="s">
        <v>110</v>
      </c>
      <c r="C51" s="33">
        <v>44546</v>
      </c>
      <c r="D51" s="28" t="str">
        <f>VLOOKUP(C51,Date_Dim!A51:B138,2,1)</f>
        <v>20211216</v>
      </c>
      <c r="E51" s="34">
        <v>16</v>
      </c>
      <c r="F51" s="34" t="s">
        <v>20</v>
      </c>
      <c r="G51" s="34">
        <v>2021</v>
      </c>
      <c r="H51" s="34" t="str">
        <f>VLOOKUP(I51,'Customer_Dim'!A51:B138,2,1)</f>
        <v>C-166</v>
      </c>
      <c r="I51" s="34">
        <v>38</v>
      </c>
      <c r="J51" s="34" t="s">
        <v>21</v>
      </c>
      <c r="K51" s="34" t="s">
        <v>169</v>
      </c>
      <c r="L51" s="34" t="s">
        <v>37</v>
      </c>
      <c r="M51" s="34" t="s">
        <v>38</v>
      </c>
      <c r="N51" s="34" t="str">
        <f>VLOOKUP(O50,Product_Dim!A51:B138,2,1)</f>
        <v>P-188</v>
      </c>
      <c r="O51" s="34" t="s">
        <v>25</v>
      </c>
      <c r="P51" s="34" t="s">
        <v>26</v>
      </c>
      <c r="Q51" s="35" t="s">
        <v>160</v>
      </c>
      <c r="R51" s="35" t="s">
        <v>161</v>
      </c>
      <c r="S51" s="35">
        <v>38</v>
      </c>
      <c r="T51" s="34">
        <v>2</v>
      </c>
      <c r="U51" s="36">
        <v>1252</v>
      </c>
      <c r="V51" s="36">
        <v>2295</v>
      </c>
      <c r="W51" s="36">
        <v>2086</v>
      </c>
      <c r="X51" s="36">
        <f t="shared" si="2"/>
        <v>2504</v>
      </c>
      <c r="Y51" s="36">
        <f t="shared" si="3"/>
        <v>4590</v>
      </c>
    </row>
    <row r="52" spans="1:25" x14ac:dyDescent="0.3">
      <c r="A52" s="29" t="str">
        <f>VLOOKUP(B52,Order_Dim!A52:B139,2,1)</f>
        <v>S-151</v>
      </c>
      <c r="B52" s="27" t="s">
        <v>111</v>
      </c>
      <c r="C52" s="28">
        <v>44546</v>
      </c>
      <c r="D52" s="28" t="str">
        <f>VLOOKUP(C52,Date_Dim!A52:B139,2,1)</f>
        <v>20211216</v>
      </c>
      <c r="E52" s="29">
        <v>16</v>
      </c>
      <c r="F52" s="29" t="s">
        <v>20</v>
      </c>
      <c r="G52" s="29">
        <v>2021</v>
      </c>
      <c r="H52" s="29" t="str">
        <f>VLOOKUP(I52,'Customer_Dim'!A52:B139,2,1)</f>
        <v>C-151</v>
      </c>
      <c r="I52" s="29">
        <v>27</v>
      </c>
      <c r="J52" s="29" t="s">
        <v>36</v>
      </c>
      <c r="K52" s="29" t="s">
        <v>168</v>
      </c>
      <c r="L52" s="29" t="s">
        <v>89</v>
      </c>
      <c r="M52" s="29" t="s">
        <v>112</v>
      </c>
      <c r="N52" s="29" t="str">
        <f>VLOOKUP(O51,Product_Dim!A52:B139,2,1)</f>
        <v>P-188</v>
      </c>
      <c r="O52" s="29" t="s">
        <v>25</v>
      </c>
      <c r="P52" s="29" t="s">
        <v>26</v>
      </c>
      <c r="Q52" s="30" t="s">
        <v>160</v>
      </c>
      <c r="R52" s="30" t="s">
        <v>162</v>
      </c>
      <c r="S52" s="30">
        <v>46</v>
      </c>
      <c r="T52" s="29">
        <v>1</v>
      </c>
      <c r="U52" s="31">
        <v>1266</v>
      </c>
      <c r="V52" s="31">
        <v>2320</v>
      </c>
      <c r="W52" s="31">
        <v>1054</v>
      </c>
      <c r="X52" s="31">
        <f t="shared" si="2"/>
        <v>1266</v>
      </c>
      <c r="Y52" s="31">
        <f t="shared" si="3"/>
        <v>2320</v>
      </c>
    </row>
    <row r="53" spans="1:25" x14ac:dyDescent="0.3">
      <c r="A53" s="34" t="str">
        <f>VLOOKUP(B53,Order_Dim!A53:B140,2,1)</f>
        <v>S-152</v>
      </c>
      <c r="B53" s="32" t="s">
        <v>114</v>
      </c>
      <c r="C53" s="33">
        <v>44547</v>
      </c>
      <c r="D53" s="28" t="str">
        <f>VLOOKUP(C53,Date_Dim!A53:B140,2,1)</f>
        <v>20211217</v>
      </c>
      <c r="E53" s="34">
        <v>17</v>
      </c>
      <c r="F53" s="34" t="s">
        <v>20</v>
      </c>
      <c r="G53" s="34">
        <v>2021</v>
      </c>
      <c r="H53" s="34" t="str">
        <f>VLOOKUP(I53,'Customer_Dim'!A53:B140,2,1)</f>
        <v>C-166</v>
      </c>
      <c r="I53" s="34">
        <v>37</v>
      </c>
      <c r="J53" s="34" t="s">
        <v>21</v>
      </c>
      <c r="K53" s="34" t="s">
        <v>168</v>
      </c>
      <c r="L53" s="34" t="s">
        <v>23</v>
      </c>
      <c r="M53" s="34" t="s">
        <v>47</v>
      </c>
      <c r="N53" s="34" t="str">
        <f>VLOOKUP(O52,Product_Dim!A53:B140,2,1)</f>
        <v>P-188</v>
      </c>
      <c r="O53" s="34" t="s">
        <v>25</v>
      </c>
      <c r="P53" s="34" t="s">
        <v>26</v>
      </c>
      <c r="Q53" s="35" t="s">
        <v>160</v>
      </c>
      <c r="R53" s="35" t="s">
        <v>162</v>
      </c>
      <c r="S53" s="35">
        <v>38</v>
      </c>
      <c r="T53" s="34">
        <v>2</v>
      </c>
      <c r="U53" s="36">
        <v>1266</v>
      </c>
      <c r="V53" s="36">
        <v>2320</v>
      </c>
      <c r="W53" s="36">
        <v>2108</v>
      </c>
      <c r="X53" s="36">
        <f t="shared" si="2"/>
        <v>2532</v>
      </c>
      <c r="Y53" s="36">
        <f t="shared" si="3"/>
        <v>4640</v>
      </c>
    </row>
    <row r="54" spans="1:25" x14ac:dyDescent="0.3">
      <c r="A54" s="29" t="str">
        <f>VLOOKUP(B54,Order_Dim!A54:B141,2,1)</f>
        <v>S-153</v>
      </c>
      <c r="B54" s="27" t="s">
        <v>115</v>
      </c>
      <c r="C54" s="28">
        <v>44547</v>
      </c>
      <c r="D54" s="28" t="str">
        <f>VLOOKUP(C54,Date_Dim!A54:B141,2,1)</f>
        <v>20211217</v>
      </c>
      <c r="E54" s="29">
        <v>17</v>
      </c>
      <c r="F54" s="29" t="s">
        <v>20</v>
      </c>
      <c r="G54" s="29">
        <v>2021</v>
      </c>
      <c r="H54" s="29" t="str">
        <f>VLOOKUP(I54,'Customer_Dim'!A54:B141,2,1)</f>
        <v>C-186</v>
      </c>
      <c r="I54" s="29">
        <v>31</v>
      </c>
      <c r="J54" s="29" t="s">
        <v>36</v>
      </c>
      <c r="K54" s="29" t="s">
        <v>169</v>
      </c>
      <c r="L54" s="29" t="s">
        <v>37</v>
      </c>
      <c r="M54" s="29" t="s">
        <v>38</v>
      </c>
      <c r="N54" s="29" t="str">
        <f>VLOOKUP(O53,Product_Dim!A54:B141,2,1)</f>
        <v>P-188</v>
      </c>
      <c r="O54" s="29" t="s">
        <v>25</v>
      </c>
      <c r="P54" s="29" t="s">
        <v>26</v>
      </c>
      <c r="Q54" s="30" t="s">
        <v>163</v>
      </c>
      <c r="R54" s="30" t="s">
        <v>162</v>
      </c>
      <c r="S54" s="30">
        <v>42</v>
      </c>
      <c r="T54" s="29">
        <v>1</v>
      </c>
      <c r="U54" s="31">
        <v>420</v>
      </c>
      <c r="V54" s="31">
        <v>769</v>
      </c>
      <c r="W54" s="31">
        <v>349</v>
      </c>
      <c r="X54" s="31">
        <f t="shared" si="2"/>
        <v>420</v>
      </c>
      <c r="Y54" s="31">
        <f t="shared" si="3"/>
        <v>769</v>
      </c>
    </row>
    <row r="55" spans="1:25" x14ac:dyDescent="0.3">
      <c r="A55" s="34" t="str">
        <f>VLOOKUP(B55,Order_Dim!A55:B142,2,1)</f>
        <v>S-154</v>
      </c>
      <c r="B55" s="32" t="s">
        <v>116</v>
      </c>
      <c r="C55" s="33">
        <v>44547</v>
      </c>
      <c r="D55" s="28" t="str">
        <f>VLOOKUP(C55,Date_Dim!A55:B142,2,1)</f>
        <v>20211217</v>
      </c>
      <c r="E55" s="34">
        <v>17</v>
      </c>
      <c r="F55" s="34" t="s">
        <v>20</v>
      </c>
      <c r="G55" s="34">
        <v>2021</v>
      </c>
      <c r="H55" s="34" t="str">
        <f>VLOOKUP(I55,'Customer_Dim'!A55:B142,2,1)</f>
        <v>C-188</v>
      </c>
      <c r="I55" s="34">
        <v>42</v>
      </c>
      <c r="J55" s="34" t="s">
        <v>21</v>
      </c>
      <c r="K55" s="34" t="s">
        <v>168</v>
      </c>
      <c r="L55" s="34" t="s">
        <v>51</v>
      </c>
      <c r="M55" s="34" t="s">
        <v>52</v>
      </c>
      <c r="N55" s="34" t="str">
        <f>VLOOKUP(O54,Product_Dim!A55:B142,2,1)</f>
        <v>P-188</v>
      </c>
      <c r="O55" s="34" t="s">
        <v>25</v>
      </c>
      <c r="P55" s="34" t="s">
        <v>26</v>
      </c>
      <c r="Q55" s="35" t="s">
        <v>160</v>
      </c>
      <c r="R55" s="35" t="s">
        <v>162</v>
      </c>
      <c r="S55" s="35">
        <v>46</v>
      </c>
      <c r="T55" s="34">
        <v>1</v>
      </c>
      <c r="U55" s="36">
        <v>1266</v>
      </c>
      <c r="V55" s="36">
        <v>2320</v>
      </c>
      <c r="W55" s="36">
        <v>1054</v>
      </c>
      <c r="X55" s="36">
        <f t="shared" si="2"/>
        <v>1266</v>
      </c>
      <c r="Y55" s="36">
        <f t="shared" si="3"/>
        <v>2320</v>
      </c>
    </row>
    <row r="56" spans="1:25" x14ac:dyDescent="0.3">
      <c r="A56" s="29" t="str">
        <f>VLOOKUP(B56,Order_Dim!A56:B143,2,1)</f>
        <v>S-155</v>
      </c>
      <c r="B56" s="27" t="s">
        <v>117</v>
      </c>
      <c r="C56" s="28">
        <v>44548</v>
      </c>
      <c r="D56" s="28" t="str">
        <f>VLOOKUP(C56,Date_Dim!A56:B143,2,1)</f>
        <v>20211218</v>
      </c>
      <c r="E56" s="29">
        <v>18</v>
      </c>
      <c r="F56" s="29" t="s">
        <v>20</v>
      </c>
      <c r="G56" s="29">
        <v>2021</v>
      </c>
      <c r="H56" s="29" t="str">
        <f>VLOOKUP(I56,'Customer_Dim'!A56:B143,2,1)</f>
        <v>C-176</v>
      </c>
      <c r="I56" s="29">
        <v>35</v>
      </c>
      <c r="J56" s="29" t="s">
        <v>21</v>
      </c>
      <c r="K56" s="29" t="s">
        <v>168</v>
      </c>
      <c r="L56" s="29" t="s">
        <v>37</v>
      </c>
      <c r="M56" s="29" t="s">
        <v>38</v>
      </c>
      <c r="N56" s="29" t="str">
        <f>VLOOKUP(O55,Product_Dim!A56:B143,2,1)</f>
        <v>P-188</v>
      </c>
      <c r="O56" s="29" t="s">
        <v>25</v>
      </c>
      <c r="P56" s="29" t="s">
        <v>26</v>
      </c>
      <c r="Q56" s="30" t="s">
        <v>164</v>
      </c>
      <c r="R56" s="30" t="s">
        <v>162</v>
      </c>
      <c r="S56" s="30">
        <v>42</v>
      </c>
      <c r="T56" s="29">
        <v>4</v>
      </c>
      <c r="U56" s="31">
        <v>308</v>
      </c>
      <c r="V56" s="31">
        <v>565</v>
      </c>
      <c r="W56" s="31">
        <v>1028</v>
      </c>
      <c r="X56" s="31">
        <f t="shared" si="2"/>
        <v>1232</v>
      </c>
      <c r="Y56" s="31">
        <f t="shared" si="3"/>
        <v>2260</v>
      </c>
    </row>
    <row r="57" spans="1:25" x14ac:dyDescent="0.3">
      <c r="A57" s="34" t="str">
        <f>VLOOKUP(B57,Order_Dim!A57:B144,2,1)</f>
        <v>S-156</v>
      </c>
      <c r="B57" s="32" t="s">
        <v>118</v>
      </c>
      <c r="C57" s="33">
        <v>44548</v>
      </c>
      <c r="D57" s="28" t="str">
        <f>VLOOKUP(C57,Date_Dim!A57:B144,2,1)</f>
        <v>20211218</v>
      </c>
      <c r="E57" s="34">
        <v>18</v>
      </c>
      <c r="F57" s="34" t="s">
        <v>20</v>
      </c>
      <c r="G57" s="34">
        <v>2021</v>
      </c>
      <c r="H57" s="34" t="str">
        <f>VLOOKUP(I57,'Customer_Dim'!A57:B144,2,1)</f>
        <v>C-188</v>
      </c>
      <c r="I57" s="34">
        <v>38</v>
      </c>
      <c r="J57" s="34" t="s">
        <v>21</v>
      </c>
      <c r="K57" s="34" t="s">
        <v>168</v>
      </c>
      <c r="L57" s="34" t="s">
        <v>51</v>
      </c>
      <c r="M57" s="34" t="s">
        <v>52</v>
      </c>
      <c r="N57" s="34" t="str">
        <f>VLOOKUP(O56,Product_Dim!A57:B144,2,1)</f>
        <v>P-188</v>
      </c>
      <c r="O57" s="34" t="s">
        <v>25</v>
      </c>
      <c r="P57" s="34" t="s">
        <v>26</v>
      </c>
      <c r="Q57" s="35" t="s">
        <v>160</v>
      </c>
      <c r="R57" s="35" t="s">
        <v>162</v>
      </c>
      <c r="S57" s="35">
        <v>46</v>
      </c>
      <c r="T57" s="34">
        <v>4</v>
      </c>
      <c r="U57" s="36">
        <v>1266</v>
      </c>
      <c r="V57" s="36">
        <v>2320</v>
      </c>
      <c r="W57" s="36">
        <v>4216</v>
      </c>
      <c r="X57" s="36">
        <f t="shared" si="2"/>
        <v>5064</v>
      </c>
      <c r="Y57" s="36">
        <f t="shared" si="3"/>
        <v>9280</v>
      </c>
    </row>
    <row r="58" spans="1:25" x14ac:dyDescent="0.3">
      <c r="A58" s="29" t="str">
        <f>VLOOKUP(B58,Order_Dim!A58:B145,2,1)</f>
        <v>S-157</v>
      </c>
      <c r="B58" s="27" t="s">
        <v>119</v>
      </c>
      <c r="C58" s="28">
        <v>44548</v>
      </c>
      <c r="D58" s="28" t="str">
        <f>VLOOKUP(C58,Date_Dim!A58:B145,2,1)</f>
        <v>20211218</v>
      </c>
      <c r="E58" s="29">
        <v>18</v>
      </c>
      <c r="F58" s="29" t="s">
        <v>20</v>
      </c>
      <c r="G58" s="29">
        <v>2021</v>
      </c>
      <c r="H58" s="29" t="str">
        <f>VLOOKUP(I58,'Customer_Dim'!A58:B145,2,1)</f>
        <v>C-178</v>
      </c>
      <c r="I58" s="29">
        <v>24</v>
      </c>
      <c r="J58" s="29" t="s">
        <v>43</v>
      </c>
      <c r="K58" s="29" t="s">
        <v>168</v>
      </c>
      <c r="L58" s="29" t="s">
        <v>89</v>
      </c>
      <c r="M58" s="29" t="s">
        <v>120</v>
      </c>
      <c r="N58" s="29" t="str">
        <f>VLOOKUP(O57,Product_Dim!A58:B145,2,1)</f>
        <v>P-188</v>
      </c>
      <c r="O58" s="29" t="s">
        <v>25</v>
      </c>
      <c r="P58" s="29" t="s">
        <v>26</v>
      </c>
      <c r="Q58" s="30" t="s">
        <v>160</v>
      </c>
      <c r="R58" s="30" t="s">
        <v>162</v>
      </c>
      <c r="S58" s="30">
        <v>38</v>
      </c>
      <c r="T58" s="29">
        <v>3</v>
      </c>
      <c r="U58" s="31">
        <v>1266</v>
      </c>
      <c r="V58" s="31">
        <v>2320</v>
      </c>
      <c r="W58" s="31">
        <v>3162</v>
      </c>
      <c r="X58" s="31">
        <f t="shared" si="2"/>
        <v>3798</v>
      </c>
      <c r="Y58" s="31">
        <f t="shared" si="3"/>
        <v>6960</v>
      </c>
    </row>
    <row r="59" spans="1:25" x14ac:dyDescent="0.3">
      <c r="A59" s="34" t="str">
        <f>VLOOKUP(B59,Order_Dim!A59:B146,2,1)</f>
        <v>S-158</v>
      </c>
      <c r="B59" s="32" t="s">
        <v>121</v>
      </c>
      <c r="C59" s="33">
        <v>44548</v>
      </c>
      <c r="D59" s="28" t="str">
        <f>VLOOKUP(C59,Date_Dim!A59:B146,2,1)</f>
        <v>20211218</v>
      </c>
      <c r="E59" s="34">
        <v>18</v>
      </c>
      <c r="F59" s="34" t="s">
        <v>20</v>
      </c>
      <c r="G59" s="34">
        <v>2021</v>
      </c>
      <c r="H59" s="34" t="str">
        <f>VLOOKUP(I59,'Customer_Dim'!A59:B146,2,1)</f>
        <v>C-164</v>
      </c>
      <c r="I59" s="34">
        <v>26</v>
      </c>
      <c r="J59" s="34" t="s">
        <v>36</v>
      </c>
      <c r="K59" s="34" t="s">
        <v>168</v>
      </c>
      <c r="L59" s="34" t="s">
        <v>29</v>
      </c>
      <c r="M59" s="34" t="s">
        <v>30</v>
      </c>
      <c r="N59" s="34" t="str">
        <f>VLOOKUP(O58,Product_Dim!A59:B146,2,1)</f>
        <v>P-188</v>
      </c>
      <c r="O59" s="34" t="s">
        <v>25</v>
      </c>
      <c r="P59" s="34" t="s">
        <v>26</v>
      </c>
      <c r="Q59" s="35" t="s">
        <v>163</v>
      </c>
      <c r="R59" s="35" t="s">
        <v>162</v>
      </c>
      <c r="S59" s="35">
        <v>42</v>
      </c>
      <c r="T59" s="34">
        <v>3</v>
      </c>
      <c r="U59" s="36">
        <v>420</v>
      </c>
      <c r="V59" s="36">
        <v>769</v>
      </c>
      <c r="W59" s="36">
        <v>1047</v>
      </c>
      <c r="X59" s="36">
        <f t="shared" si="2"/>
        <v>1260</v>
      </c>
      <c r="Y59" s="36">
        <f t="shared" si="3"/>
        <v>2307</v>
      </c>
    </row>
    <row r="60" spans="1:25" x14ac:dyDescent="0.3">
      <c r="A60" s="29" t="str">
        <f>VLOOKUP(B60,Order_Dim!A60:B147,2,1)</f>
        <v>S-159</v>
      </c>
      <c r="B60" s="27" t="s">
        <v>122</v>
      </c>
      <c r="C60" s="28">
        <v>44548</v>
      </c>
      <c r="D60" s="28" t="str">
        <f>VLOOKUP(C60,Date_Dim!A60:B147,2,1)</f>
        <v>20211218</v>
      </c>
      <c r="E60" s="29">
        <v>18</v>
      </c>
      <c r="F60" s="29" t="s">
        <v>20</v>
      </c>
      <c r="G60" s="29">
        <v>2021</v>
      </c>
      <c r="H60" s="29" t="str">
        <f>VLOOKUP(I60,'Customer_Dim'!A60:B147,2,1)</f>
        <v>C-179</v>
      </c>
      <c r="I60" s="29">
        <v>39</v>
      </c>
      <c r="J60" s="29" t="s">
        <v>21</v>
      </c>
      <c r="K60" s="29" t="s">
        <v>169</v>
      </c>
      <c r="L60" s="29" t="s">
        <v>23</v>
      </c>
      <c r="M60" s="29" t="s">
        <v>24</v>
      </c>
      <c r="N60" s="29" t="str">
        <f>VLOOKUP(O59,Product_Dim!A60:B147,2,1)</f>
        <v>P-188</v>
      </c>
      <c r="O60" s="29" t="s">
        <v>25</v>
      </c>
      <c r="P60" s="29" t="s">
        <v>26</v>
      </c>
      <c r="Q60" s="30" t="s">
        <v>160</v>
      </c>
      <c r="R60" s="30" t="s">
        <v>161</v>
      </c>
      <c r="S60" s="30">
        <v>42</v>
      </c>
      <c r="T60" s="29">
        <v>3</v>
      </c>
      <c r="U60" s="31">
        <v>1252</v>
      </c>
      <c r="V60" s="31">
        <v>2295</v>
      </c>
      <c r="W60" s="31">
        <v>3129</v>
      </c>
      <c r="X60" s="31">
        <f t="shared" si="2"/>
        <v>3756</v>
      </c>
      <c r="Y60" s="31">
        <f t="shared" si="3"/>
        <v>6885</v>
      </c>
    </row>
    <row r="61" spans="1:25" x14ac:dyDescent="0.3">
      <c r="A61" s="34" t="str">
        <f>VLOOKUP(B61,Order_Dim!A61:B148,2,1)</f>
        <v>S-160</v>
      </c>
      <c r="B61" s="32" t="s">
        <v>123</v>
      </c>
      <c r="C61" s="33">
        <v>44548</v>
      </c>
      <c r="D61" s="28" t="str">
        <f>VLOOKUP(C61,Date_Dim!A61:B148,2,1)</f>
        <v>20211218</v>
      </c>
      <c r="E61" s="34">
        <v>18</v>
      </c>
      <c r="F61" s="34" t="s">
        <v>20</v>
      </c>
      <c r="G61" s="34">
        <v>2021</v>
      </c>
      <c r="H61" s="34" t="str">
        <f>VLOOKUP(I61,'Customer_Dim'!A61:B148,2,1)</f>
        <v>C-182</v>
      </c>
      <c r="I61" s="34">
        <v>26</v>
      </c>
      <c r="J61" s="34" t="s">
        <v>36</v>
      </c>
      <c r="K61" s="34" t="s">
        <v>169</v>
      </c>
      <c r="L61" s="34" t="s">
        <v>89</v>
      </c>
      <c r="M61" s="34" t="s">
        <v>90</v>
      </c>
      <c r="N61" s="34" t="str">
        <f>VLOOKUP(O60,Product_Dim!A61:B148,2,1)</f>
        <v>P-188</v>
      </c>
      <c r="O61" s="34" t="s">
        <v>25</v>
      </c>
      <c r="P61" s="34" t="s">
        <v>26</v>
      </c>
      <c r="Q61" s="35" t="s">
        <v>160</v>
      </c>
      <c r="R61" s="35" t="s">
        <v>161</v>
      </c>
      <c r="S61" s="35">
        <v>46</v>
      </c>
      <c r="T61" s="34">
        <v>1</v>
      </c>
      <c r="U61" s="36">
        <v>1252</v>
      </c>
      <c r="V61" s="36">
        <v>2295</v>
      </c>
      <c r="W61" s="36">
        <v>1043</v>
      </c>
      <c r="X61" s="36">
        <f t="shared" si="2"/>
        <v>1252</v>
      </c>
      <c r="Y61" s="36">
        <f t="shared" si="3"/>
        <v>2295</v>
      </c>
    </row>
    <row r="62" spans="1:25" x14ac:dyDescent="0.3">
      <c r="A62" s="29" t="str">
        <f>VLOOKUP(B62,Order_Dim!A62:B149,2,1)</f>
        <v>S-161</v>
      </c>
      <c r="B62" s="27" t="s">
        <v>124</v>
      </c>
      <c r="C62" s="28">
        <v>44548</v>
      </c>
      <c r="D62" s="28" t="str">
        <f>VLOOKUP(C62,Date_Dim!A62:B149,2,1)</f>
        <v>20211218</v>
      </c>
      <c r="E62" s="29">
        <v>18</v>
      </c>
      <c r="F62" s="29" t="s">
        <v>20</v>
      </c>
      <c r="G62" s="29">
        <v>2021</v>
      </c>
      <c r="H62" s="29" t="str">
        <f>VLOOKUP(I62,'Customer_Dim'!A62:B149,2,1)</f>
        <v>C-187</v>
      </c>
      <c r="I62" s="29">
        <v>36</v>
      </c>
      <c r="J62" s="29" t="s">
        <v>21</v>
      </c>
      <c r="K62" s="29" t="s">
        <v>169</v>
      </c>
      <c r="L62" s="29" t="s">
        <v>23</v>
      </c>
      <c r="M62" s="29" t="s">
        <v>47</v>
      </c>
      <c r="N62" s="29" t="str">
        <f>VLOOKUP(O61,Product_Dim!A62:B149,2,1)</f>
        <v>P-188</v>
      </c>
      <c r="O62" s="29" t="s">
        <v>25</v>
      </c>
      <c r="P62" s="29" t="s">
        <v>26</v>
      </c>
      <c r="Q62" s="30" t="s">
        <v>160</v>
      </c>
      <c r="R62" s="30" t="s">
        <v>162</v>
      </c>
      <c r="S62" s="30">
        <v>38</v>
      </c>
      <c r="T62" s="29">
        <v>1</v>
      </c>
      <c r="U62" s="31">
        <v>1266</v>
      </c>
      <c r="V62" s="31">
        <v>2320</v>
      </c>
      <c r="W62" s="31">
        <v>1054</v>
      </c>
      <c r="X62" s="31">
        <f t="shared" si="2"/>
        <v>1266</v>
      </c>
      <c r="Y62" s="31">
        <f t="shared" si="3"/>
        <v>2320</v>
      </c>
    </row>
    <row r="63" spans="1:25" x14ac:dyDescent="0.3">
      <c r="A63" s="34" t="str">
        <f>VLOOKUP(B63,Order_Dim!A63:B150,2,1)</f>
        <v>S-162</v>
      </c>
      <c r="B63" s="32" t="s">
        <v>125</v>
      </c>
      <c r="C63" s="33">
        <v>44549</v>
      </c>
      <c r="D63" s="28" t="str">
        <f>VLOOKUP(C63,Date_Dim!A63:B150,2,1)</f>
        <v>20211219</v>
      </c>
      <c r="E63" s="34">
        <v>19</v>
      </c>
      <c r="F63" s="34" t="s">
        <v>20</v>
      </c>
      <c r="G63" s="34">
        <v>2021</v>
      </c>
      <c r="H63" s="34" t="str">
        <f>VLOOKUP(I63,'Customer_Dim'!A63:B150,2,1)</f>
        <v>C-162</v>
      </c>
      <c r="I63" s="34">
        <v>17</v>
      </c>
      <c r="J63" s="34" t="s">
        <v>43</v>
      </c>
      <c r="K63" s="34" t="s">
        <v>169</v>
      </c>
      <c r="L63" s="34" t="s">
        <v>89</v>
      </c>
      <c r="M63" s="34" t="s">
        <v>126</v>
      </c>
      <c r="N63" s="34" t="str">
        <f>VLOOKUP(O62,Product_Dim!A63:B150,2,1)</f>
        <v>P-188</v>
      </c>
      <c r="O63" s="34" t="s">
        <v>25</v>
      </c>
      <c r="P63" s="34" t="s">
        <v>26</v>
      </c>
      <c r="Q63" s="35" t="s">
        <v>160</v>
      </c>
      <c r="R63" s="35" t="s">
        <v>162</v>
      </c>
      <c r="S63" s="35">
        <v>46</v>
      </c>
      <c r="T63" s="34">
        <v>4</v>
      </c>
      <c r="U63" s="36">
        <v>1266</v>
      </c>
      <c r="V63" s="36">
        <v>2320</v>
      </c>
      <c r="W63" s="36">
        <v>4216</v>
      </c>
      <c r="X63" s="36">
        <f t="shared" si="2"/>
        <v>5064</v>
      </c>
      <c r="Y63" s="36">
        <f t="shared" si="3"/>
        <v>9280</v>
      </c>
    </row>
    <row r="64" spans="1:25" x14ac:dyDescent="0.3">
      <c r="A64" s="29" t="str">
        <f>VLOOKUP(B64,Order_Dim!A64:B151,2,1)</f>
        <v>S-163</v>
      </c>
      <c r="B64" s="27" t="s">
        <v>127</v>
      </c>
      <c r="C64" s="28">
        <v>44549</v>
      </c>
      <c r="D64" s="28" t="str">
        <f>VLOOKUP(C64,Date_Dim!A64:B151,2,1)</f>
        <v>20211219</v>
      </c>
      <c r="E64" s="29">
        <v>19</v>
      </c>
      <c r="F64" s="29" t="s">
        <v>20</v>
      </c>
      <c r="G64" s="29">
        <v>2021</v>
      </c>
      <c r="H64" s="29" t="str">
        <f>VLOOKUP(I64,'Customer_Dim'!A64:B151,2,1)</f>
        <v>C-163</v>
      </c>
      <c r="I64" s="29">
        <v>19</v>
      </c>
      <c r="J64" s="29" t="s">
        <v>43</v>
      </c>
      <c r="K64" s="29" t="s">
        <v>168</v>
      </c>
      <c r="L64" s="29" t="s">
        <v>37</v>
      </c>
      <c r="M64" s="29" t="s">
        <v>76</v>
      </c>
      <c r="N64" s="29" t="str">
        <f>VLOOKUP(O63,Product_Dim!A64:B151,2,1)</f>
        <v>P-188</v>
      </c>
      <c r="O64" s="29" t="s">
        <v>25</v>
      </c>
      <c r="P64" s="29" t="s">
        <v>26</v>
      </c>
      <c r="Q64" s="30" t="s">
        <v>164</v>
      </c>
      <c r="R64" s="30" t="s">
        <v>161</v>
      </c>
      <c r="S64" s="30">
        <v>44</v>
      </c>
      <c r="T64" s="29">
        <v>4</v>
      </c>
      <c r="U64" s="31">
        <v>295</v>
      </c>
      <c r="V64" s="31">
        <v>540</v>
      </c>
      <c r="W64" s="31">
        <v>980</v>
      </c>
      <c r="X64" s="31">
        <f t="shared" si="2"/>
        <v>1180</v>
      </c>
      <c r="Y64" s="31">
        <f t="shared" si="3"/>
        <v>2160</v>
      </c>
    </row>
    <row r="65" spans="1:25" x14ac:dyDescent="0.3">
      <c r="A65" s="34" t="str">
        <f>VLOOKUP(B65,Order_Dim!A65:B152,2,1)</f>
        <v>S-164</v>
      </c>
      <c r="B65" s="32" t="s">
        <v>129</v>
      </c>
      <c r="C65" s="33">
        <v>44549</v>
      </c>
      <c r="D65" s="28" t="str">
        <f>VLOOKUP(C65,Date_Dim!A65:B152,2,1)</f>
        <v>20211219</v>
      </c>
      <c r="E65" s="34">
        <v>19</v>
      </c>
      <c r="F65" s="34" t="s">
        <v>20</v>
      </c>
      <c r="G65" s="34">
        <v>2021</v>
      </c>
      <c r="H65" s="34" t="str">
        <f>VLOOKUP(I65,'Customer_Dim'!A65:B152,2,1)</f>
        <v>C-164</v>
      </c>
      <c r="I65" s="34">
        <v>25</v>
      </c>
      <c r="J65" s="34" t="s">
        <v>36</v>
      </c>
      <c r="K65" s="34" t="s">
        <v>169</v>
      </c>
      <c r="L65" s="34" t="s">
        <v>89</v>
      </c>
      <c r="M65" s="34" t="s">
        <v>90</v>
      </c>
      <c r="N65" s="34" t="str">
        <f>VLOOKUP(O64,Product_Dim!A65:B152,2,1)</f>
        <v>P-188</v>
      </c>
      <c r="O65" s="34" t="s">
        <v>25</v>
      </c>
      <c r="P65" s="34" t="s">
        <v>26</v>
      </c>
      <c r="Q65" s="35" t="s">
        <v>160</v>
      </c>
      <c r="R65" s="35" t="s">
        <v>161</v>
      </c>
      <c r="S65" s="35">
        <v>38</v>
      </c>
      <c r="T65" s="34">
        <v>4</v>
      </c>
      <c r="U65" s="36">
        <v>1252</v>
      </c>
      <c r="V65" s="36">
        <v>2295</v>
      </c>
      <c r="W65" s="36">
        <v>4172</v>
      </c>
      <c r="X65" s="36">
        <f t="shared" si="2"/>
        <v>5008</v>
      </c>
      <c r="Y65" s="36">
        <f t="shared" si="3"/>
        <v>9180</v>
      </c>
    </row>
    <row r="66" spans="1:25" x14ac:dyDescent="0.3">
      <c r="A66" s="29" t="str">
        <f>VLOOKUP(B66,Order_Dim!A66:B153,2,1)</f>
        <v>S-165</v>
      </c>
      <c r="B66" s="27" t="s">
        <v>130</v>
      </c>
      <c r="C66" s="28">
        <v>44549</v>
      </c>
      <c r="D66" s="28" t="str">
        <f>VLOOKUP(C66,Date_Dim!A66:B153,2,1)</f>
        <v>20211219</v>
      </c>
      <c r="E66" s="29">
        <v>19</v>
      </c>
      <c r="F66" s="29" t="s">
        <v>20</v>
      </c>
      <c r="G66" s="29">
        <v>2021</v>
      </c>
      <c r="H66" s="29" t="str">
        <f>VLOOKUP(I66,'Customer_Dim'!A66:B153,2,1)</f>
        <v>C-187</v>
      </c>
      <c r="I66" s="29">
        <v>35</v>
      </c>
      <c r="J66" s="29" t="s">
        <v>21</v>
      </c>
      <c r="K66" s="29" t="s">
        <v>168</v>
      </c>
      <c r="L66" s="29" t="s">
        <v>23</v>
      </c>
      <c r="M66" s="29" t="s">
        <v>72</v>
      </c>
      <c r="N66" s="29" t="str">
        <f>VLOOKUP(O65,Product_Dim!A66:B153,2,1)</f>
        <v>P-188</v>
      </c>
      <c r="O66" s="29" t="s">
        <v>25</v>
      </c>
      <c r="P66" s="29" t="s">
        <v>26</v>
      </c>
      <c r="Q66" s="30" t="s">
        <v>165</v>
      </c>
      <c r="R66" s="30" t="s">
        <v>161</v>
      </c>
      <c r="S66" s="30">
        <v>48</v>
      </c>
      <c r="T66" s="29">
        <v>4</v>
      </c>
      <c r="U66" s="31">
        <v>1898</v>
      </c>
      <c r="V66" s="31">
        <v>3375</v>
      </c>
      <c r="W66" s="31">
        <v>5908</v>
      </c>
      <c r="X66" s="31">
        <f t="shared" ref="X66:X89" si="4">T66*U66</f>
        <v>7592</v>
      </c>
      <c r="Y66" s="31">
        <f t="shared" ref="Y66:Y89" si="5">T66*V66</f>
        <v>13500</v>
      </c>
    </row>
    <row r="67" spans="1:25" x14ac:dyDescent="0.3">
      <c r="A67" s="34" t="str">
        <f>VLOOKUP(B67,Order_Dim!A67:B154,2,1)</f>
        <v>S-166</v>
      </c>
      <c r="B67" s="32" t="s">
        <v>132</v>
      </c>
      <c r="C67" s="33">
        <v>44549</v>
      </c>
      <c r="D67" s="28" t="str">
        <f>VLOOKUP(C67,Date_Dim!A67:B154,2,1)</f>
        <v>20211219</v>
      </c>
      <c r="E67" s="34">
        <v>19</v>
      </c>
      <c r="F67" s="34" t="s">
        <v>20</v>
      </c>
      <c r="G67" s="34">
        <v>2021</v>
      </c>
      <c r="H67" s="34" t="str">
        <f>VLOOKUP(I67,'Customer_Dim'!A67:B154,2,1)</f>
        <v>C-187</v>
      </c>
      <c r="I67" s="34">
        <v>37</v>
      </c>
      <c r="J67" s="34" t="s">
        <v>21</v>
      </c>
      <c r="K67" s="34" t="s">
        <v>169</v>
      </c>
      <c r="L67" s="34" t="s">
        <v>23</v>
      </c>
      <c r="M67" s="34" t="s">
        <v>72</v>
      </c>
      <c r="N67" s="34" t="str">
        <f>VLOOKUP(O66,Product_Dim!A67:B154,2,1)</f>
        <v>P-188</v>
      </c>
      <c r="O67" s="34" t="s">
        <v>25</v>
      </c>
      <c r="P67" s="34" t="s">
        <v>26</v>
      </c>
      <c r="Q67" s="35" t="s">
        <v>160</v>
      </c>
      <c r="R67" s="35" t="s">
        <v>161</v>
      </c>
      <c r="S67" s="35">
        <v>38</v>
      </c>
      <c r="T67" s="34">
        <v>4</v>
      </c>
      <c r="U67" s="36">
        <v>1252</v>
      </c>
      <c r="V67" s="36">
        <v>2295</v>
      </c>
      <c r="W67" s="36">
        <v>4172</v>
      </c>
      <c r="X67" s="36">
        <f t="shared" si="4"/>
        <v>5008</v>
      </c>
      <c r="Y67" s="36">
        <f t="shared" si="5"/>
        <v>9180</v>
      </c>
    </row>
    <row r="68" spans="1:25" x14ac:dyDescent="0.3">
      <c r="A68" s="29" t="str">
        <f>VLOOKUP(B68,Order_Dim!A68:B155,2,1)</f>
        <v>S-167</v>
      </c>
      <c r="B68" s="27" t="s">
        <v>133</v>
      </c>
      <c r="C68" s="28">
        <v>44549</v>
      </c>
      <c r="D68" s="28" t="str">
        <f>VLOOKUP(C68,Date_Dim!A68:B155,2,1)</f>
        <v>20211219</v>
      </c>
      <c r="E68" s="29">
        <v>19</v>
      </c>
      <c r="F68" s="29" t="s">
        <v>20</v>
      </c>
      <c r="G68" s="29">
        <v>2021</v>
      </c>
      <c r="H68" s="29" t="str">
        <f>VLOOKUP(I68,'Customer_Dim'!A68:B155,2,1)</f>
        <v>C-188</v>
      </c>
      <c r="I68" s="29">
        <v>39</v>
      </c>
      <c r="J68" s="29" t="s">
        <v>21</v>
      </c>
      <c r="K68" s="29" t="s">
        <v>168</v>
      </c>
      <c r="L68" s="29" t="s">
        <v>23</v>
      </c>
      <c r="M68" s="29" t="s">
        <v>24</v>
      </c>
      <c r="N68" s="29" t="str">
        <f>VLOOKUP(O67,Product_Dim!A68:B155,2,1)</f>
        <v>P-188</v>
      </c>
      <c r="O68" s="29" t="s">
        <v>25</v>
      </c>
      <c r="P68" s="29" t="s">
        <v>26</v>
      </c>
      <c r="Q68" s="30" t="s">
        <v>160</v>
      </c>
      <c r="R68" s="30" t="s">
        <v>161</v>
      </c>
      <c r="S68" s="30">
        <v>46</v>
      </c>
      <c r="T68" s="29">
        <v>4</v>
      </c>
      <c r="U68" s="31">
        <v>1252</v>
      </c>
      <c r="V68" s="31">
        <v>2295</v>
      </c>
      <c r="W68" s="31">
        <v>4172</v>
      </c>
      <c r="X68" s="31">
        <f t="shared" si="4"/>
        <v>5008</v>
      </c>
      <c r="Y68" s="31">
        <f t="shared" si="5"/>
        <v>9180</v>
      </c>
    </row>
    <row r="69" spans="1:25" x14ac:dyDescent="0.3">
      <c r="A69" s="34" t="str">
        <f>VLOOKUP(B69,Order_Dim!A69:B156,2,1)</f>
        <v>S-168</v>
      </c>
      <c r="B69" s="32" t="s">
        <v>134</v>
      </c>
      <c r="C69" s="33">
        <v>44549</v>
      </c>
      <c r="D69" s="28" t="str">
        <f>VLOOKUP(C69,Date_Dim!A69:B156,2,1)</f>
        <v>20211219</v>
      </c>
      <c r="E69" s="34">
        <v>19</v>
      </c>
      <c r="F69" s="34" t="s">
        <v>20</v>
      </c>
      <c r="G69" s="34">
        <v>2021</v>
      </c>
      <c r="H69" s="34" t="str">
        <f>VLOOKUP(I69,'Customer_Dim'!A69:B156,2,1)</f>
        <v>C-188</v>
      </c>
      <c r="I69" s="34">
        <v>63</v>
      </c>
      <c r="J69" s="34" t="s">
        <v>21</v>
      </c>
      <c r="K69" s="34" t="s">
        <v>168</v>
      </c>
      <c r="L69" s="34" t="s">
        <v>37</v>
      </c>
      <c r="M69" s="34" t="s">
        <v>54</v>
      </c>
      <c r="N69" s="34" t="str">
        <f>VLOOKUP(O68,Product_Dim!A69:B156,2,1)</f>
        <v>P-188</v>
      </c>
      <c r="O69" s="34" t="s">
        <v>25</v>
      </c>
      <c r="P69" s="34" t="s">
        <v>26</v>
      </c>
      <c r="Q69" s="35" t="s">
        <v>160</v>
      </c>
      <c r="R69" s="35" t="s">
        <v>161</v>
      </c>
      <c r="S69" s="35">
        <v>46</v>
      </c>
      <c r="T69" s="34">
        <v>4</v>
      </c>
      <c r="U69" s="36">
        <v>1252</v>
      </c>
      <c r="V69" s="36">
        <v>2295</v>
      </c>
      <c r="W69" s="36">
        <v>4172</v>
      </c>
      <c r="X69" s="36">
        <f t="shared" si="4"/>
        <v>5008</v>
      </c>
      <c r="Y69" s="36">
        <f t="shared" si="5"/>
        <v>9180</v>
      </c>
    </row>
    <row r="70" spans="1:25" x14ac:dyDescent="0.3">
      <c r="A70" s="29" t="str">
        <f>VLOOKUP(B70,Order_Dim!A70:B157,2,1)</f>
        <v>S-169</v>
      </c>
      <c r="B70" s="27" t="s">
        <v>135</v>
      </c>
      <c r="C70" s="28">
        <v>44549</v>
      </c>
      <c r="D70" s="28" t="str">
        <f>VLOOKUP(C70,Date_Dim!A70:B157,2,1)</f>
        <v>20211219</v>
      </c>
      <c r="E70" s="29">
        <v>19</v>
      </c>
      <c r="F70" s="29" t="s">
        <v>20</v>
      </c>
      <c r="G70" s="29">
        <v>2021</v>
      </c>
      <c r="H70" s="29" t="str">
        <f>VLOOKUP(I70,'Customer_Dim'!A70:B157,2,1)</f>
        <v>C-169</v>
      </c>
      <c r="I70" s="29">
        <v>18</v>
      </c>
      <c r="J70" s="29" t="s">
        <v>43</v>
      </c>
      <c r="K70" s="29" t="s">
        <v>169</v>
      </c>
      <c r="L70" s="29" t="s">
        <v>37</v>
      </c>
      <c r="M70" s="29" t="s">
        <v>136</v>
      </c>
      <c r="N70" s="29" t="str">
        <f>VLOOKUP(O69,Product_Dim!A70:B157,2,1)</f>
        <v>P-188</v>
      </c>
      <c r="O70" s="29" t="s">
        <v>25</v>
      </c>
      <c r="P70" s="29" t="s">
        <v>26</v>
      </c>
      <c r="Q70" s="30" t="s">
        <v>164</v>
      </c>
      <c r="R70" s="30" t="s">
        <v>161</v>
      </c>
      <c r="S70" s="30">
        <v>40</v>
      </c>
      <c r="T70" s="29">
        <v>2</v>
      </c>
      <c r="U70" s="31">
        <v>295</v>
      </c>
      <c r="V70" s="31">
        <v>540</v>
      </c>
      <c r="W70" s="31">
        <v>490</v>
      </c>
      <c r="X70" s="31">
        <f t="shared" si="4"/>
        <v>590</v>
      </c>
      <c r="Y70" s="31">
        <f t="shared" si="5"/>
        <v>1080</v>
      </c>
    </row>
    <row r="71" spans="1:25" x14ac:dyDescent="0.3">
      <c r="A71" s="34" t="str">
        <f>VLOOKUP(B71,Order_Dim!A71:B158,2,1)</f>
        <v>S-170</v>
      </c>
      <c r="B71" s="32" t="s">
        <v>137</v>
      </c>
      <c r="C71" s="33">
        <v>44549</v>
      </c>
      <c r="D71" s="28" t="str">
        <f>VLOOKUP(C71,Date_Dim!A71:B158,2,1)</f>
        <v>20211219</v>
      </c>
      <c r="E71" s="34">
        <v>19</v>
      </c>
      <c r="F71" s="34" t="s">
        <v>20</v>
      </c>
      <c r="G71" s="34">
        <v>2021</v>
      </c>
      <c r="H71" s="34" t="str">
        <f>VLOOKUP(I71,'Customer_Dim'!A71:B158,2,1)</f>
        <v>C-188</v>
      </c>
      <c r="I71" s="34">
        <v>56</v>
      </c>
      <c r="J71" s="34" t="s">
        <v>21</v>
      </c>
      <c r="K71" s="34" t="s">
        <v>168</v>
      </c>
      <c r="L71" s="34" t="s">
        <v>51</v>
      </c>
      <c r="M71" s="34" t="s">
        <v>138</v>
      </c>
      <c r="N71" s="34" t="str">
        <f>VLOOKUP(O70,Product_Dim!A71:B158,2,1)</f>
        <v>P-188</v>
      </c>
      <c r="O71" s="34" t="s">
        <v>25</v>
      </c>
      <c r="P71" s="34" t="s">
        <v>26</v>
      </c>
      <c r="Q71" s="35" t="s">
        <v>160</v>
      </c>
      <c r="R71" s="35" t="s">
        <v>161</v>
      </c>
      <c r="S71" s="35">
        <v>46</v>
      </c>
      <c r="T71" s="34">
        <v>2</v>
      </c>
      <c r="U71" s="36">
        <v>1252</v>
      </c>
      <c r="V71" s="36">
        <v>2295</v>
      </c>
      <c r="W71" s="36">
        <v>2086</v>
      </c>
      <c r="X71" s="36">
        <f t="shared" si="4"/>
        <v>2504</v>
      </c>
      <c r="Y71" s="36">
        <f t="shared" si="5"/>
        <v>4590</v>
      </c>
    </row>
    <row r="72" spans="1:25" x14ac:dyDescent="0.3">
      <c r="A72" s="29" t="str">
        <f>VLOOKUP(B72,Order_Dim!A72:B159,2,1)</f>
        <v>S-171</v>
      </c>
      <c r="B72" s="27" t="s">
        <v>139</v>
      </c>
      <c r="C72" s="28">
        <v>44549</v>
      </c>
      <c r="D72" s="28" t="str">
        <f>VLOOKUP(C72,Date_Dim!A72:B159,2,1)</f>
        <v>20211219</v>
      </c>
      <c r="E72" s="29">
        <v>19</v>
      </c>
      <c r="F72" s="29" t="s">
        <v>20</v>
      </c>
      <c r="G72" s="29">
        <v>2021</v>
      </c>
      <c r="H72" s="29" t="str">
        <f>VLOOKUP(I72,'Customer_Dim'!A72:B159,2,1)</f>
        <v>C-188</v>
      </c>
      <c r="I72" s="29">
        <v>39</v>
      </c>
      <c r="J72" s="29" t="s">
        <v>21</v>
      </c>
      <c r="K72" s="29" t="s">
        <v>168</v>
      </c>
      <c r="L72" s="29" t="s">
        <v>23</v>
      </c>
      <c r="M72" s="29" t="s">
        <v>47</v>
      </c>
      <c r="N72" s="29" t="str">
        <f>VLOOKUP(O71,Product_Dim!A72:B159,2,1)</f>
        <v>P-188</v>
      </c>
      <c r="O72" s="29" t="s">
        <v>25</v>
      </c>
      <c r="P72" s="29" t="s">
        <v>26</v>
      </c>
      <c r="Q72" s="30" t="s">
        <v>160</v>
      </c>
      <c r="R72" s="30" t="s">
        <v>162</v>
      </c>
      <c r="S72" s="30">
        <v>38</v>
      </c>
      <c r="T72" s="29">
        <v>1</v>
      </c>
      <c r="U72" s="31">
        <v>1266</v>
      </c>
      <c r="V72" s="31">
        <v>2320</v>
      </c>
      <c r="W72" s="31">
        <v>1054</v>
      </c>
      <c r="X72" s="31">
        <f t="shared" si="4"/>
        <v>1266</v>
      </c>
      <c r="Y72" s="31">
        <f t="shared" si="5"/>
        <v>2320</v>
      </c>
    </row>
    <row r="73" spans="1:25" x14ac:dyDescent="0.3">
      <c r="A73" s="34" t="str">
        <f>VLOOKUP(B73,Order_Dim!A73:B160,2,1)</f>
        <v>S-172</v>
      </c>
      <c r="B73" s="32" t="s">
        <v>140</v>
      </c>
      <c r="C73" s="33">
        <v>44550</v>
      </c>
      <c r="D73" s="28" t="str">
        <f>VLOOKUP(C73,Date_Dim!A73:B160,2,1)</f>
        <v>20211220</v>
      </c>
      <c r="E73" s="34">
        <v>20</v>
      </c>
      <c r="F73" s="34" t="s">
        <v>20</v>
      </c>
      <c r="G73" s="34">
        <v>2021</v>
      </c>
      <c r="H73" s="34" t="str">
        <f>VLOOKUP(I73,'Customer_Dim'!A73:B160,2,1)</f>
        <v>C-183</v>
      </c>
      <c r="I73" s="34">
        <v>33</v>
      </c>
      <c r="J73" s="34" t="s">
        <v>36</v>
      </c>
      <c r="K73" s="34" t="s">
        <v>168</v>
      </c>
      <c r="L73" s="34" t="s">
        <v>37</v>
      </c>
      <c r="M73" s="34" t="s">
        <v>76</v>
      </c>
      <c r="N73" s="34" t="str">
        <f>VLOOKUP(O72,Product_Dim!A73:B160,2,1)</f>
        <v>P-188</v>
      </c>
      <c r="O73" s="34" t="s">
        <v>25</v>
      </c>
      <c r="P73" s="34" t="s">
        <v>26</v>
      </c>
      <c r="Q73" s="35" t="s">
        <v>165</v>
      </c>
      <c r="R73" s="35" t="s">
        <v>161</v>
      </c>
      <c r="S73" s="35">
        <v>38</v>
      </c>
      <c r="T73" s="34">
        <v>4</v>
      </c>
      <c r="U73" s="36">
        <v>1898</v>
      </c>
      <c r="V73" s="36">
        <v>3375</v>
      </c>
      <c r="W73" s="36">
        <v>5908</v>
      </c>
      <c r="X73" s="36">
        <f t="shared" si="4"/>
        <v>7592</v>
      </c>
      <c r="Y73" s="36">
        <f t="shared" si="5"/>
        <v>13500</v>
      </c>
    </row>
    <row r="74" spans="1:25" x14ac:dyDescent="0.3">
      <c r="A74" s="29" t="str">
        <f>VLOOKUP(B74,Order_Dim!A74:B161,2,1)</f>
        <v>S-173</v>
      </c>
      <c r="B74" s="27" t="s">
        <v>141</v>
      </c>
      <c r="C74" s="28">
        <v>44550</v>
      </c>
      <c r="D74" s="28" t="str">
        <f>VLOOKUP(C74,Date_Dim!A74:B161,2,1)</f>
        <v>20211220</v>
      </c>
      <c r="E74" s="29">
        <v>20</v>
      </c>
      <c r="F74" s="29" t="s">
        <v>20</v>
      </c>
      <c r="G74" s="29">
        <v>2021</v>
      </c>
      <c r="H74" s="29" t="str">
        <f>VLOOKUP(I74,'Customer_Dim'!A74:B161,2,1)</f>
        <v>C-188</v>
      </c>
      <c r="I74" s="29">
        <v>57</v>
      </c>
      <c r="J74" s="29" t="s">
        <v>21</v>
      </c>
      <c r="K74" s="29" t="s">
        <v>169</v>
      </c>
      <c r="L74" s="29" t="s">
        <v>37</v>
      </c>
      <c r="M74" s="29" t="s">
        <v>54</v>
      </c>
      <c r="N74" s="29" t="str">
        <f>VLOOKUP(O73,Product_Dim!A74:B161,2,1)</f>
        <v>P-188</v>
      </c>
      <c r="O74" s="29" t="s">
        <v>25</v>
      </c>
      <c r="P74" s="29" t="s">
        <v>26</v>
      </c>
      <c r="Q74" s="30" t="s">
        <v>160</v>
      </c>
      <c r="R74" s="30" t="s">
        <v>161</v>
      </c>
      <c r="S74" s="30">
        <v>46</v>
      </c>
      <c r="T74" s="29">
        <v>4</v>
      </c>
      <c r="U74" s="31">
        <v>1252</v>
      </c>
      <c r="V74" s="31">
        <v>2295</v>
      </c>
      <c r="W74" s="31">
        <v>4172</v>
      </c>
      <c r="X74" s="31">
        <f t="shared" si="4"/>
        <v>5008</v>
      </c>
      <c r="Y74" s="31">
        <f t="shared" si="5"/>
        <v>9180</v>
      </c>
    </row>
    <row r="75" spans="1:25" x14ac:dyDescent="0.3">
      <c r="A75" s="34" t="str">
        <f>VLOOKUP(B75,Order_Dim!A75:B162,2,1)</f>
        <v>S-174</v>
      </c>
      <c r="B75" s="32" t="s">
        <v>142</v>
      </c>
      <c r="C75" s="33">
        <v>44550</v>
      </c>
      <c r="D75" s="28" t="str">
        <f>VLOOKUP(C75,Date_Dim!A75:B162,2,1)</f>
        <v>20211220</v>
      </c>
      <c r="E75" s="34">
        <v>20</v>
      </c>
      <c r="F75" s="34" t="s">
        <v>20</v>
      </c>
      <c r="G75" s="34">
        <v>2021</v>
      </c>
      <c r="H75" s="34" t="str">
        <f>VLOOKUP(I75,'Customer_Dim'!A75:B162,2,1)</f>
        <v>C-183</v>
      </c>
      <c r="I75" s="34">
        <v>29</v>
      </c>
      <c r="J75" s="34" t="s">
        <v>36</v>
      </c>
      <c r="K75" s="34" t="s">
        <v>169</v>
      </c>
      <c r="L75" s="34" t="s">
        <v>59</v>
      </c>
      <c r="M75" s="34" t="s">
        <v>60</v>
      </c>
      <c r="N75" s="34" t="str">
        <f>VLOOKUP(O74,Product_Dim!A75:B162,2,1)</f>
        <v>P-188</v>
      </c>
      <c r="O75" s="34" t="s">
        <v>25</v>
      </c>
      <c r="P75" s="34" t="s">
        <v>26</v>
      </c>
      <c r="Q75" s="35" t="s">
        <v>164</v>
      </c>
      <c r="R75" s="35" t="s">
        <v>161</v>
      </c>
      <c r="S75" s="35">
        <v>52</v>
      </c>
      <c r="T75" s="34">
        <v>3</v>
      </c>
      <c r="U75" s="36">
        <v>295</v>
      </c>
      <c r="V75" s="36">
        <v>540</v>
      </c>
      <c r="W75" s="36">
        <v>735</v>
      </c>
      <c r="X75" s="36">
        <f t="shared" si="4"/>
        <v>885</v>
      </c>
      <c r="Y75" s="36">
        <f t="shared" si="5"/>
        <v>1620</v>
      </c>
    </row>
    <row r="76" spans="1:25" x14ac:dyDescent="0.3">
      <c r="A76" s="29" t="str">
        <f>VLOOKUP(B76,Order_Dim!A76:B163,2,1)</f>
        <v>S-175</v>
      </c>
      <c r="B76" s="27" t="s">
        <v>144</v>
      </c>
      <c r="C76" s="28">
        <v>44550</v>
      </c>
      <c r="D76" s="28" t="str">
        <f>VLOOKUP(C76,Date_Dim!A76:B163,2,1)</f>
        <v>20211220</v>
      </c>
      <c r="E76" s="29">
        <v>20</v>
      </c>
      <c r="F76" s="29" t="s">
        <v>20</v>
      </c>
      <c r="G76" s="29">
        <v>2021</v>
      </c>
      <c r="H76" s="29" t="str">
        <f>VLOOKUP(I76,'Customer_Dim'!A76:B163,2,1)</f>
        <v>C-187</v>
      </c>
      <c r="I76" s="29">
        <v>35</v>
      </c>
      <c r="J76" s="29" t="s">
        <v>21</v>
      </c>
      <c r="K76" s="29" t="s">
        <v>168</v>
      </c>
      <c r="L76" s="29" t="s">
        <v>37</v>
      </c>
      <c r="M76" s="29" t="s">
        <v>54</v>
      </c>
      <c r="N76" s="29" t="str">
        <f>VLOOKUP(O75,Product_Dim!A76:B163,2,1)</f>
        <v>P-188</v>
      </c>
      <c r="O76" s="29" t="s">
        <v>25</v>
      </c>
      <c r="P76" s="29" t="s">
        <v>26</v>
      </c>
      <c r="Q76" s="30" t="s">
        <v>160</v>
      </c>
      <c r="R76" s="30" t="s">
        <v>162</v>
      </c>
      <c r="S76" s="30">
        <v>38</v>
      </c>
      <c r="T76" s="29">
        <v>1</v>
      </c>
      <c r="U76" s="31">
        <v>1266</v>
      </c>
      <c r="V76" s="31">
        <v>2320</v>
      </c>
      <c r="W76" s="31">
        <v>1054</v>
      </c>
      <c r="X76" s="31">
        <f t="shared" si="4"/>
        <v>1266</v>
      </c>
      <c r="Y76" s="31">
        <f t="shared" si="5"/>
        <v>2320</v>
      </c>
    </row>
    <row r="77" spans="1:25" x14ac:dyDescent="0.3">
      <c r="A77" s="34" t="str">
        <f>VLOOKUP(B77,Order_Dim!A77:B164,2,1)</f>
        <v>S-176</v>
      </c>
      <c r="B77" s="32" t="s">
        <v>145</v>
      </c>
      <c r="C77" s="33">
        <v>44550</v>
      </c>
      <c r="D77" s="28" t="str">
        <f>VLOOKUP(C77,Date_Dim!A77:B164,2,1)</f>
        <v>20211220</v>
      </c>
      <c r="E77" s="34">
        <v>20</v>
      </c>
      <c r="F77" s="34" t="s">
        <v>20</v>
      </c>
      <c r="G77" s="34">
        <v>2021</v>
      </c>
      <c r="H77" s="34" t="str">
        <f>VLOOKUP(I77,'Customer_Dim'!A77:B164,2,1)</f>
        <v>C-187</v>
      </c>
      <c r="I77" s="34">
        <v>35</v>
      </c>
      <c r="J77" s="34" t="s">
        <v>21</v>
      </c>
      <c r="K77" s="34" t="s">
        <v>169</v>
      </c>
      <c r="L77" s="34" t="s">
        <v>37</v>
      </c>
      <c r="M77" s="34" t="s">
        <v>76</v>
      </c>
      <c r="N77" s="34" t="str">
        <f>VLOOKUP(O76,Product_Dim!A77:B164,2,1)</f>
        <v>P-188</v>
      </c>
      <c r="O77" s="34" t="s">
        <v>25</v>
      </c>
      <c r="P77" s="34" t="s">
        <v>26</v>
      </c>
      <c r="Q77" s="35" t="s">
        <v>160</v>
      </c>
      <c r="R77" s="35" t="s">
        <v>162</v>
      </c>
      <c r="S77" s="35">
        <v>38</v>
      </c>
      <c r="T77" s="34">
        <v>1</v>
      </c>
      <c r="U77" s="36">
        <v>1266</v>
      </c>
      <c r="V77" s="36">
        <v>2320</v>
      </c>
      <c r="W77" s="36">
        <v>1054</v>
      </c>
      <c r="X77" s="36">
        <f t="shared" si="4"/>
        <v>1266</v>
      </c>
      <c r="Y77" s="36">
        <f t="shared" si="5"/>
        <v>2320</v>
      </c>
    </row>
    <row r="78" spans="1:25" x14ac:dyDescent="0.3">
      <c r="A78" s="29" t="str">
        <f>VLOOKUP(B78,Order_Dim!A78:B165,2,1)</f>
        <v>S-177</v>
      </c>
      <c r="B78" s="27" t="s">
        <v>146</v>
      </c>
      <c r="C78" s="28">
        <v>44551</v>
      </c>
      <c r="D78" s="28" t="str">
        <f>VLOOKUP(C78,Date_Dim!A78:B165,2,1)</f>
        <v>20211221</v>
      </c>
      <c r="E78" s="29">
        <v>21</v>
      </c>
      <c r="F78" s="29" t="s">
        <v>20</v>
      </c>
      <c r="G78" s="29">
        <v>2021</v>
      </c>
      <c r="H78" s="29" t="str">
        <f>VLOOKUP(I78,'Customer_Dim'!A78:B165,2,1)</f>
        <v>C-182</v>
      </c>
      <c r="I78" s="29">
        <v>26</v>
      </c>
      <c r="J78" s="29" t="s">
        <v>36</v>
      </c>
      <c r="K78" s="29" t="s">
        <v>169</v>
      </c>
      <c r="L78" s="29" t="s">
        <v>89</v>
      </c>
      <c r="M78" s="29" t="s">
        <v>147</v>
      </c>
      <c r="N78" s="29" t="str">
        <f>VLOOKUP(O77,Product_Dim!A78:B165,2,1)</f>
        <v>P-188</v>
      </c>
      <c r="O78" s="29" t="s">
        <v>25</v>
      </c>
      <c r="P78" s="29" t="s">
        <v>26</v>
      </c>
      <c r="Q78" s="30" t="s">
        <v>160</v>
      </c>
      <c r="R78" s="30" t="s">
        <v>162</v>
      </c>
      <c r="S78" s="30">
        <v>38</v>
      </c>
      <c r="T78" s="29">
        <v>3</v>
      </c>
      <c r="U78" s="31">
        <v>1266</v>
      </c>
      <c r="V78" s="31">
        <v>2320</v>
      </c>
      <c r="W78" s="31">
        <v>3162</v>
      </c>
      <c r="X78" s="31">
        <f t="shared" si="4"/>
        <v>3798</v>
      </c>
      <c r="Y78" s="31">
        <f t="shared" si="5"/>
        <v>6960</v>
      </c>
    </row>
    <row r="79" spans="1:25" x14ac:dyDescent="0.3">
      <c r="A79" s="34" t="str">
        <f>VLOOKUP(B79,Order_Dim!A79:B166,2,1)</f>
        <v>S-178</v>
      </c>
      <c r="B79" s="32" t="s">
        <v>148</v>
      </c>
      <c r="C79" s="33">
        <v>44551</v>
      </c>
      <c r="D79" s="28" t="str">
        <f>VLOOKUP(C79,Date_Dim!A79:B166,2,1)</f>
        <v>20211221</v>
      </c>
      <c r="E79" s="34">
        <v>21</v>
      </c>
      <c r="F79" s="34" t="s">
        <v>20</v>
      </c>
      <c r="G79" s="34">
        <v>2021</v>
      </c>
      <c r="H79" s="34" t="str">
        <f>VLOOKUP(I79,'Customer_Dim'!A79:B166,2,1)</f>
        <v>C-178</v>
      </c>
      <c r="I79" s="34">
        <v>23</v>
      </c>
      <c r="J79" s="34" t="s">
        <v>43</v>
      </c>
      <c r="K79" s="34" t="s">
        <v>169</v>
      </c>
      <c r="L79" s="34" t="s">
        <v>29</v>
      </c>
      <c r="M79" s="34" t="s">
        <v>30</v>
      </c>
      <c r="N79" s="34" t="str">
        <f>VLOOKUP(O78,Product_Dim!A79:B166,2,1)</f>
        <v>P-188</v>
      </c>
      <c r="O79" s="34" t="s">
        <v>25</v>
      </c>
      <c r="P79" s="34" t="s">
        <v>26</v>
      </c>
      <c r="Q79" s="35" t="s">
        <v>163</v>
      </c>
      <c r="R79" s="35" t="s">
        <v>162</v>
      </c>
      <c r="S79" s="35">
        <v>46</v>
      </c>
      <c r="T79" s="34">
        <v>2</v>
      </c>
      <c r="U79" s="36">
        <v>420</v>
      </c>
      <c r="V79" s="36">
        <v>769</v>
      </c>
      <c r="W79" s="36">
        <v>698</v>
      </c>
      <c r="X79" s="36">
        <f t="shared" si="4"/>
        <v>840</v>
      </c>
      <c r="Y79" s="36">
        <f t="shared" si="5"/>
        <v>1538</v>
      </c>
    </row>
    <row r="80" spans="1:25" x14ac:dyDescent="0.3">
      <c r="A80" s="29" t="str">
        <f>VLOOKUP(B80,Order_Dim!A80:B167,2,1)</f>
        <v>S-179</v>
      </c>
      <c r="B80" s="27" t="s">
        <v>149</v>
      </c>
      <c r="C80" s="28">
        <v>44552</v>
      </c>
      <c r="D80" s="28" t="str">
        <f>VLOOKUP(C80,Date_Dim!A80:B167,2,1)</f>
        <v>20211222</v>
      </c>
      <c r="E80" s="29">
        <v>22</v>
      </c>
      <c r="F80" s="29" t="s">
        <v>20</v>
      </c>
      <c r="G80" s="29">
        <v>2021</v>
      </c>
      <c r="H80" s="29" t="str">
        <f>VLOOKUP(I80,'Customer_Dim'!A80:B167,2,1)</f>
        <v>C-183</v>
      </c>
      <c r="I80" s="29">
        <v>30</v>
      </c>
      <c r="J80" s="29" t="s">
        <v>36</v>
      </c>
      <c r="K80" s="29" t="s">
        <v>168</v>
      </c>
      <c r="L80" s="29" t="s">
        <v>23</v>
      </c>
      <c r="M80" s="29" t="s">
        <v>47</v>
      </c>
      <c r="N80" s="29" t="str">
        <f>VLOOKUP(O79,Product_Dim!A80:B167,2,1)</f>
        <v>P-188</v>
      </c>
      <c r="O80" s="29" t="s">
        <v>25</v>
      </c>
      <c r="P80" s="29" t="s">
        <v>26</v>
      </c>
      <c r="Q80" s="30" t="s">
        <v>160</v>
      </c>
      <c r="R80" s="30" t="s">
        <v>162</v>
      </c>
      <c r="S80" s="30">
        <v>38</v>
      </c>
      <c r="T80" s="29">
        <v>3</v>
      </c>
      <c r="U80" s="31">
        <v>1266</v>
      </c>
      <c r="V80" s="31">
        <v>2320</v>
      </c>
      <c r="W80" s="31">
        <v>3162</v>
      </c>
      <c r="X80" s="31">
        <f t="shared" si="4"/>
        <v>3798</v>
      </c>
      <c r="Y80" s="31">
        <f t="shared" si="5"/>
        <v>6960</v>
      </c>
    </row>
    <row r="81" spans="1:25" x14ac:dyDescent="0.3">
      <c r="A81" s="34" t="str">
        <f>VLOOKUP(B81,Order_Dim!A81:B168,2,1)</f>
        <v>S-180</v>
      </c>
      <c r="B81" s="32" t="s">
        <v>150</v>
      </c>
      <c r="C81" s="33">
        <v>44552</v>
      </c>
      <c r="D81" s="28" t="str">
        <f>VLOOKUP(C81,Date_Dim!A81:B168,2,1)</f>
        <v>20211222</v>
      </c>
      <c r="E81" s="34">
        <v>22</v>
      </c>
      <c r="F81" s="34" t="s">
        <v>20</v>
      </c>
      <c r="G81" s="34">
        <v>2021</v>
      </c>
      <c r="H81" s="34" t="str">
        <f>VLOOKUP(I81,'Customer_Dim'!A81:B168,2,1)</f>
        <v>C-184</v>
      </c>
      <c r="I81" s="34">
        <v>41</v>
      </c>
      <c r="J81" s="34" t="s">
        <v>21</v>
      </c>
      <c r="K81" s="34" t="s">
        <v>169</v>
      </c>
      <c r="L81" s="34" t="s">
        <v>23</v>
      </c>
      <c r="M81" s="34" t="s">
        <v>24</v>
      </c>
      <c r="N81" s="34" t="str">
        <f>VLOOKUP(O80,Product_Dim!A81:B168,2,1)</f>
        <v>P-188</v>
      </c>
      <c r="O81" s="34" t="s">
        <v>25</v>
      </c>
      <c r="P81" s="34" t="s">
        <v>26</v>
      </c>
      <c r="Q81" s="35" t="s">
        <v>160</v>
      </c>
      <c r="R81" s="35" t="s">
        <v>161</v>
      </c>
      <c r="S81" s="35">
        <v>42</v>
      </c>
      <c r="T81" s="34">
        <v>3</v>
      </c>
      <c r="U81" s="36">
        <v>1252</v>
      </c>
      <c r="V81" s="36">
        <v>2295</v>
      </c>
      <c r="W81" s="36">
        <v>3129</v>
      </c>
      <c r="X81" s="36">
        <f t="shared" si="4"/>
        <v>3756</v>
      </c>
      <c r="Y81" s="36">
        <f t="shared" si="5"/>
        <v>6885</v>
      </c>
    </row>
    <row r="82" spans="1:25" x14ac:dyDescent="0.3">
      <c r="A82" s="29" t="str">
        <f>VLOOKUP(B82,Order_Dim!A82:B169,2,1)</f>
        <v>S-181</v>
      </c>
      <c r="B82" s="27" t="s">
        <v>151</v>
      </c>
      <c r="C82" s="28">
        <v>44552</v>
      </c>
      <c r="D82" s="28" t="str">
        <f>VLOOKUP(C82,Date_Dim!A82:B169,2,1)</f>
        <v>20211222</v>
      </c>
      <c r="E82" s="29">
        <v>22</v>
      </c>
      <c r="F82" s="29" t="s">
        <v>20</v>
      </c>
      <c r="G82" s="29">
        <v>2021</v>
      </c>
      <c r="H82" s="29" t="str">
        <f>VLOOKUP(I82,'Customer_Dim'!A82:B169,2,1)</f>
        <v>C-181</v>
      </c>
      <c r="I82" s="29">
        <v>19</v>
      </c>
      <c r="J82" s="29" t="s">
        <v>43</v>
      </c>
      <c r="K82" s="29" t="s">
        <v>168</v>
      </c>
      <c r="L82" s="29" t="s">
        <v>37</v>
      </c>
      <c r="M82" s="29" t="s">
        <v>38</v>
      </c>
      <c r="N82" s="29" t="str">
        <f>VLOOKUP(O81,Product_Dim!A82:B169,2,1)</f>
        <v>P-188</v>
      </c>
      <c r="O82" s="29" t="s">
        <v>25</v>
      </c>
      <c r="P82" s="29" t="s">
        <v>26</v>
      </c>
      <c r="Q82" s="30" t="s">
        <v>164</v>
      </c>
      <c r="R82" s="30" t="s">
        <v>162</v>
      </c>
      <c r="S82" s="30">
        <v>42</v>
      </c>
      <c r="T82" s="29">
        <v>1</v>
      </c>
      <c r="U82" s="31">
        <v>308</v>
      </c>
      <c r="V82" s="31">
        <v>565</v>
      </c>
      <c r="W82" s="31">
        <v>257</v>
      </c>
      <c r="X82" s="31">
        <f t="shared" si="4"/>
        <v>308</v>
      </c>
      <c r="Y82" s="31">
        <f t="shared" si="5"/>
        <v>565</v>
      </c>
    </row>
    <row r="83" spans="1:25" x14ac:dyDescent="0.3">
      <c r="A83" s="34" t="str">
        <f>VLOOKUP(B83,Order_Dim!A83:B170,2,1)</f>
        <v>S-182</v>
      </c>
      <c r="B83" s="32" t="s">
        <v>152</v>
      </c>
      <c r="C83" s="33">
        <v>44552</v>
      </c>
      <c r="D83" s="28" t="str">
        <f>VLOOKUP(C83,Date_Dim!A83:B170,2,1)</f>
        <v>20211222</v>
      </c>
      <c r="E83" s="34">
        <v>22</v>
      </c>
      <c r="F83" s="34" t="s">
        <v>20</v>
      </c>
      <c r="G83" s="34">
        <v>2021</v>
      </c>
      <c r="H83" s="34" t="str">
        <f>VLOOKUP(I83,'Customer_Dim'!A83:B170,2,1)</f>
        <v>C-182</v>
      </c>
      <c r="I83" s="34">
        <v>25</v>
      </c>
      <c r="J83" s="34" t="s">
        <v>36</v>
      </c>
      <c r="K83" s="34" t="s">
        <v>169</v>
      </c>
      <c r="L83" s="34" t="s">
        <v>89</v>
      </c>
      <c r="M83" s="34" t="s">
        <v>90</v>
      </c>
      <c r="N83" s="34" t="str">
        <f>VLOOKUP(O82,Product_Dim!A83:B170,2,1)</f>
        <v>P-188</v>
      </c>
      <c r="O83" s="34" t="s">
        <v>25</v>
      </c>
      <c r="P83" s="34" t="s">
        <v>26</v>
      </c>
      <c r="Q83" s="35" t="s">
        <v>160</v>
      </c>
      <c r="R83" s="35" t="s">
        <v>161</v>
      </c>
      <c r="S83" s="35">
        <v>38</v>
      </c>
      <c r="T83" s="34">
        <v>1</v>
      </c>
      <c r="U83" s="36">
        <v>1252</v>
      </c>
      <c r="V83" s="36">
        <v>2295</v>
      </c>
      <c r="W83" s="36">
        <v>1043</v>
      </c>
      <c r="X83" s="36">
        <f t="shared" si="4"/>
        <v>1252</v>
      </c>
      <c r="Y83" s="36">
        <f t="shared" si="5"/>
        <v>2295</v>
      </c>
    </row>
    <row r="84" spans="1:25" x14ac:dyDescent="0.3">
      <c r="A84" s="29" t="str">
        <f>VLOOKUP(B84,Order_Dim!A84:B171,2,1)</f>
        <v>S-183</v>
      </c>
      <c r="B84" s="27" t="s">
        <v>153</v>
      </c>
      <c r="C84" s="28">
        <v>44552</v>
      </c>
      <c r="D84" s="28" t="str">
        <f>VLOOKUP(C84,Date_Dim!A84:B171,2,1)</f>
        <v>20211222</v>
      </c>
      <c r="E84" s="29">
        <v>22</v>
      </c>
      <c r="F84" s="29" t="s">
        <v>20</v>
      </c>
      <c r="G84" s="29">
        <v>2021</v>
      </c>
      <c r="H84" s="29" t="str">
        <f>VLOOKUP(I84,'Customer_Dim'!A84:B171,2,1)</f>
        <v>C-183</v>
      </c>
      <c r="I84" s="29">
        <v>27</v>
      </c>
      <c r="J84" s="29" t="s">
        <v>36</v>
      </c>
      <c r="K84" s="29" t="s">
        <v>168</v>
      </c>
      <c r="L84" s="29" t="s">
        <v>59</v>
      </c>
      <c r="M84" s="29" t="s">
        <v>60</v>
      </c>
      <c r="N84" s="29" t="str">
        <f>VLOOKUP(O83,Product_Dim!A84:B171,2,1)</f>
        <v>P-188</v>
      </c>
      <c r="O84" s="29" t="s">
        <v>25</v>
      </c>
      <c r="P84" s="29" t="s">
        <v>26</v>
      </c>
      <c r="Q84" s="30" t="s">
        <v>160</v>
      </c>
      <c r="R84" s="30" t="s">
        <v>161</v>
      </c>
      <c r="S84" s="30">
        <v>46</v>
      </c>
      <c r="T84" s="29">
        <v>1</v>
      </c>
      <c r="U84" s="31">
        <v>1252</v>
      </c>
      <c r="V84" s="31">
        <v>2295</v>
      </c>
      <c r="W84" s="31">
        <v>1043</v>
      </c>
      <c r="X84" s="31">
        <f t="shared" si="4"/>
        <v>1252</v>
      </c>
      <c r="Y84" s="31">
        <f t="shared" si="5"/>
        <v>2295</v>
      </c>
    </row>
    <row r="85" spans="1:25" x14ac:dyDescent="0.3">
      <c r="A85" s="34" t="str">
        <f>VLOOKUP(B85,Order_Dim!A85:B172,2,1)</f>
        <v>S-184</v>
      </c>
      <c r="B85" s="32" t="s">
        <v>154</v>
      </c>
      <c r="C85" s="33">
        <v>44552</v>
      </c>
      <c r="D85" s="28" t="str">
        <f>VLOOKUP(C85,Date_Dim!A85:B172,2,1)</f>
        <v>20211222</v>
      </c>
      <c r="E85" s="34">
        <v>22</v>
      </c>
      <c r="F85" s="34" t="s">
        <v>20</v>
      </c>
      <c r="G85" s="34">
        <v>2021</v>
      </c>
      <c r="H85" s="34" t="str">
        <f>VLOOKUP(I85,'Customer_Dim'!A85:B172,2,1)</f>
        <v>C-188</v>
      </c>
      <c r="I85" s="34">
        <v>41</v>
      </c>
      <c r="J85" s="34" t="s">
        <v>21</v>
      </c>
      <c r="K85" s="34" t="s">
        <v>169</v>
      </c>
      <c r="L85" s="34" t="s">
        <v>51</v>
      </c>
      <c r="M85" s="34" t="s">
        <v>138</v>
      </c>
      <c r="N85" s="34" t="str">
        <f>VLOOKUP(O84,Product_Dim!A85:B172,2,1)</f>
        <v>P-188</v>
      </c>
      <c r="O85" s="34" t="s">
        <v>25</v>
      </c>
      <c r="P85" s="34" t="s">
        <v>26</v>
      </c>
      <c r="Q85" s="35" t="s">
        <v>160</v>
      </c>
      <c r="R85" s="35" t="s">
        <v>162</v>
      </c>
      <c r="S85" s="35">
        <v>38</v>
      </c>
      <c r="T85" s="34">
        <v>1</v>
      </c>
      <c r="U85" s="36">
        <v>1266</v>
      </c>
      <c r="V85" s="36">
        <v>2320</v>
      </c>
      <c r="W85" s="36">
        <v>1054</v>
      </c>
      <c r="X85" s="36">
        <f t="shared" si="4"/>
        <v>1266</v>
      </c>
      <c r="Y85" s="36">
        <f t="shared" si="5"/>
        <v>2320</v>
      </c>
    </row>
    <row r="86" spans="1:25" x14ac:dyDescent="0.3">
      <c r="A86" s="29" t="str">
        <f>VLOOKUP(B86,Order_Dim!A86:B173,2,1)</f>
        <v>S-185</v>
      </c>
      <c r="B86" s="27" t="s">
        <v>155</v>
      </c>
      <c r="C86" s="28">
        <v>44553</v>
      </c>
      <c r="D86" s="28" t="str">
        <f>VLOOKUP(C86,Date_Dim!A86:B173,2,1)</f>
        <v>20211223</v>
      </c>
      <c r="E86" s="29">
        <v>23</v>
      </c>
      <c r="F86" s="29" t="s">
        <v>20</v>
      </c>
      <c r="G86" s="29">
        <v>2021</v>
      </c>
      <c r="H86" s="29" t="str">
        <f>VLOOKUP(I86,'Customer_Dim'!A86:B173,2,1)</f>
        <v>C-185</v>
      </c>
      <c r="I86" s="29">
        <v>30</v>
      </c>
      <c r="J86" s="29" t="s">
        <v>36</v>
      </c>
      <c r="K86" s="29" t="s">
        <v>168</v>
      </c>
      <c r="L86" s="29" t="s">
        <v>23</v>
      </c>
      <c r="M86" s="29" t="s">
        <v>72</v>
      </c>
      <c r="N86" s="29" t="str">
        <f>VLOOKUP(O85,Product_Dim!A86:B173,2,1)</f>
        <v>P-188</v>
      </c>
      <c r="O86" s="29" t="s">
        <v>25</v>
      </c>
      <c r="P86" s="29" t="s">
        <v>26</v>
      </c>
      <c r="Q86" s="30" t="s">
        <v>160</v>
      </c>
      <c r="R86" s="30" t="s">
        <v>162</v>
      </c>
      <c r="S86" s="30">
        <v>42</v>
      </c>
      <c r="T86" s="29">
        <v>1</v>
      </c>
      <c r="U86" s="31">
        <v>1266</v>
      </c>
      <c r="V86" s="31">
        <v>2320</v>
      </c>
      <c r="W86" s="31">
        <v>1054</v>
      </c>
      <c r="X86" s="31">
        <f t="shared" si="4"/>
        <v>1266</v>
      </c>
      <c r="Y86" s="31">
        <f t="shared" si="5"/>
        <v>2320</v>
      </c>
    </row>
    <row r="87" spans="1:25" x14ac:dyDescent="0.3">
      <c r="A87" s="34" t="str">
        <f>VLOOKUP(B87,Order_Dim!A87:B174,2,1)</f>
        <v>S-186</v>
      </c>
      <c r="B87" s="32" t="s">
        <v>156</v>
      </c>
      <c r="C87" s="33">
        <v>44553</v>
      </c>
      <c r="D87" s="28" t="str">
        <f>VLOOKUP(C87,Date_Dim!A87:B174,2,1)</f>
        <v>20211223</v>
      </c>
      <c r="E87" s="34">
        <v>23</v>
      </c>
      <c r="F87" s="34" t="s">
        <v>20</v>
      </c>
      <c r="G87" s="34">
        <v>2021</v>
      </c>
      <c r="H87" s="34" t="str">
        <f>VLOOKUP(I87,'Customer_Dim'!A87:B174,2,1)</f>
        <v>C-186</v>
      </c>
      <c r="I87" s="34">
        <v>31</v>
      </c>
      <c r="J87" s="34" t="s">
        <v>36</v>
      </c>
      <c r="K87" s="34" t="s">
        <v>168</v>
      </c>
      <c r="L87" s="34" t="s">
        <v>59</v>
      </c>
      <c r="M87" s="34" t="s">
        <v>60</v>
      </c>
      <c r="N87" s="34" t="str">
        <f>VLOOKUP(O86,Product_Dim!A87:B174,2,1)</f>
        <v>P-188</v>
      </c>
      <c r="O87" s="34" t="s">
        <v>25</v>
      </c>
      <c r="P87" s="34" t="s">
        <v>26</v>
      </c>
      <c r="Q87" s="35" t="s">
        <v>160</v>
      </c>
      <c r="R87" s="35" t="s">
        <v>161</v>
      </c>
      <c r="S87" s="35">
        <v>42</v>
      </c>
      <c r="T87" s="34">
        <v>1</v>
      </c>
      <c r="U87" s="36">
        <v>1252</v>
      </c>
      <c r="V87" s="36">
        <v>2295</v>
      </c>
      <c r="W87" s="36">
        <v>1043</v>
      </c>
      <c r="X87" s="36">
        <f t="shared" si="4"/>
        <v>1252</v>
      </c>
      <c r="Y87" s="36">
        <f t="shared" si="5"/>
        <v>2295</v>
      </c>
    </row>
    <row r="88" spans="1:25" x14ac:dyDescent="0.3">
      <c r="A88" s="29" t="str">
        <f>VLOOKUP(B88,Order_Dim!A88:B175,2,1)</f>
        <v>S-187</v>
      </c>
      <c r="B88" s="27" t="s">
        <v>157</v>
      </c>
      <c r="C88" s="28">
        <v>44553</v>
      </c>
      <c r="D88" s="28" t="str">
        <f>VLOOKUP(C88,Date_Dim!A88:B175,2,1)</f>
        <v>20211223</v>
      </c>
      <c r="E88" s="29">
        <v>23</v>
      </c>
      <c r="F88" s="29" t="s">
        <v>20</v>
      </c>
      <c r="G88" s="29">
        <v>2021</v>
      </c>
      <c r="H88" s="29" t="str">
        <f>VLOOKUP(I88,'Customer_Dim'!A88:B175,2,1)</f>
        <v>C-187</v>
      </c>
      <c r="I88" s="29">
        <v>35</v>
      </c>
      <c r="J88" s="29" t="s">
        <v>21</v>
      </c>
      <c r="K88" s="29" t="s">
        <v>168</v>
      </c>
      <c r="L88" s="29" t="s">
        <v>23</v>
      </c>
      <c r="M88" s="29" t="s">
        <v>24</v>
      </c>
      <c r="N88" s="29" t="str">
        <f>VLOOKUP(O87,Product_Dim!A88:B175,2,1)</f>
        <v>P-188</v>
      </c>
      <c r="O88" s="29" t="s">
        <v>25</v>
      </c>
      <c r="P88" s="29" t="s">
        <v>26</v>
      </c>
      <c r="Q88" s="30" t="s">
        <v>164</v>
      </c>
      <c r="R88" s="30" t="s">
        <v>161</v>
      </c>
      <c r="S88" s="30">
        <v>42</v>
      </c>
      <c r="T88" s="29">
        <v>1</v>
      </c>
      <c r="U88" s="31">
        <v>295</v>
      </c>
      <c r="V88" s="31">
        <v>540</v>
      </c>
      <c r="W88" s="31">
        <v>245</v>
      </c>
      <c r="X88" s="31">
        <f t="shared" si="4"/>
        <v>295</v>
      </c>
      <c r="Y88" s="31">
        <f t="shared" si="5"/>
        <v>540</v>
      </c>
    </row>
    <row r="89" spans="1:25" x14ac:dyDescent="0.3">
      <c r="A89" s="15" t="str">
        <f>VLOOKUP(B89,Order_Dim!A89:B176,2,1)</f>
        <v>S-188</v>
      </c>
      <c r="B89" s="37" t="s">
        <v>158</v>
      </c>
      <c r="C89" s="38">
        <v>44554</v>
      </c>
      <c r="D89" s="28" t="str">
        <f>VLOOKUP(C89,Date_Dim!A89:B176,2,1)</f>
        <v>20211224</v>
      </c>
      <c r="E89" s="15">
        <v>24</v>
      </c>
      <c r="F89" s="15" t="s">
        <v>20</v>
      </c>
      <c r="G89" s="15">
        <v>2021</v>
      </c>
      <c r="H89" s="15" t="str">
        <f>VLOOKUP(I89,'Customer_Dim'!A89:B176,2,1)</f>
        <v>C-188</v>
      </c>
      <c r="I89" s="15">
        <v>38</v>
      </c>
      <c r="J89" s="15" t="s">
        <v>21</v>
      </c>
      <c r="K89" s="15" t="s">
        <v>169</v>
      </c>
      <c r="L89" s="15" t="s">
        <v>37</v>
      </c>
      <c r="M89" s="15" t="s">
        <v>54</v>
      </c>
      <c r="N89" s="15" t="str">
        <f>VLOOKUP(O88,Product_Dim!A89:B176,2,1)</f>
        <v>P-188</v>
      </c>
      <c r="O89" s="15" t="s">
        <v>25</v>
      </c>
      <c r="P89" s="15" t="s">
        <v>26</v>
      </c>
      <c r="Q89" s="39" t="s">
        <v>160</v>
      </c>
      <c r="R89" s="39" t="s">
        <v>161</v>
      </c>
      <c r="S89" s="39">
        <v>42</v>
      </c>
      <c r="T89" s="15">
        <v>4</v>
      </c>
      <c r="U89" s="40">
        <v>1252</v>
      </c>
      <c r="V89" s="40">
        <v>2295</v>
      </c>
      <c r="W89" s="40">
        <v>4172</v>
      </c>
      <c r="X89" s="40">
        <f t="shared" si="4"/>
        <v>5008</v>
      </c>
      <c r="Y89" s="40">
        <f t="shared" si="5"/>
        <v>9180</v>
      </c>
    </row>
  </sheetData>
  <conditionalFormatting sqref="B1:B1048576">
    <cfRule type="duplicateValues" dxfId="12" priority="17"/>
  </conditionalFormatting>
  <conditionalFormatting sqref="K8:M8 B8:I8 O8:T8">
    <cfRule type="duplicateValues" dxfId="11" priority="11"/>
  </conditionalFormatting>
  <conditionalFormatting sqref="K1:Y2 O3:Y7 O9:Y89 B1:I89 K3:N89 O8:T8">
    <cfRule type="containsBlanks" dxfId="10" priority="2">
      <formula>LEN(TRIM(B1))=0</formula>
    </cfRule>
  </conditionalFormatting>
  <conditionalFormatting sqref="U1:V1048576">
    <cfRule type="cellIs" dxfId="9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EFB8-4DCC-4ECA-A5A4-BB159E5F29CD}">
  <dimension ref="A1:E89"/>
  <sheetViews>
    <sheetView workbookViewId="0">
      <selection activeCell="G21" sqref="G21"/>
    </sheetView>
  </sheetViews>
  <sheetFormatPr defaultRowHeight="14.4" x14ac:dyDescent="0.3"/>
  <cols>
    <col min="1" max="1" width="10.6640625" style="13" bestFit="1" customWidth="1"/>
    <col min="2" max="2" width="10.6640625" style="13" customWidth="1"/>
    <col min="4" max="4" width="10.109375" bestFit="1" customWidth="1"/>
  </cols>
  <sheetData>
    <row r="1" spans="1:5" s="8" customFormat="1" ht="97.5" customHeight="1" x14ac:dyDescent="0.3">
      <c r="A1" s="43" t="s">
        <v>1</v>
      </c>
      <c r="B1" s="43" t="s">
        <v>439</v>
      </c>
      <c r="C1" s="21" t="s">
        <v>2</v>
      </c>
      <c r="D1" s="21" t="s">
        <v>3</v>
      </c>
      <c r="E1" s="21" t="s">
        <v>4</v>
      </c>
    </row>
    <row r="2" spans="1:5" x14ac:dyDescent="0.3">
      <c r="A2" s="26">
        <v>44531</v>
      </c>
      <c r="B2" s="26" t="str">
        <f t="shared" ref="B2:B33" si="0">YEAR(A2)&amp;TEXT(MONTH(A2),"00")&amp;TEXT(DAY(A2),"00")</f>
        <v>20211201</v>
      </c>
      <c r="C2" s="18">
        <v>1</v>
      </c>
      <c r="D2" s="18" t="s">
        <v>20</v>
      </c>
      <c r="E2" s="18">
        <v>2021</v>
      </c>
    </row>
    <row r="3" spans="1:5" x14ac:dyDescent="0.3">
      <c r="A3" s="41">
        <v>44531</v>
      </c>
      <c r="B3" s="26" t="str">
        <f t="shared" si="0"/>
        <v>20211201</v>
      </c>
      <c r="C3" s="19">
        <v>1</v>
      </c>
      <c r="D3" s="19" t="s">
        <v>20</v>
      </c>
      <c r="E3" s="19">
        <v>2021</v>
      </c>
    </row>
    <row r="4" spans="1:5" x14ac:dyDescent="0.3">
      <c r="A4" s="26">
        <v>44532</v>
      </c>
      <c r="B4" s="26" t="str">
        <f t="shared" si="0"/>
        <v>20211202</v>
      </c>
      <c r="C4" s="18">
        <v>2</v>
      </c>
      <c r="D4" s="18" t="s">
        <v>20</v>
      </c>
      <c r="E4" s="18">
        <v>2021</v>
      </c>
    </row>
    <row r="5" spans="1:5" x14ac:dyDescent="0.3">
      <c r="A5" s="41">
        <v>44532</v>
      </c>
      <c r="B5" s="26" t="str">
        <f t="shared" si="0"/>
        <v>20211202</v>
      </c>
      <c r="C5" s="19">
        <v>2</v>
      </c>
      <c r="D5" s="19" t="s">
        <v>20</v>
      </c>
      <c r="E5" s="19">
        <v>2021</v>
      </c>
    </row>
    <row r="6" spans="1:5" x14ac:dyDescent="0.3">
      <c r="A6" s="26">
        <v>44533</v>
      </c>
      <c r="B6" s="26" t="str">
        <f t="shared" si="0"/>
        <v>20211203</v>
      </c>
      <c r="C6" s="18">
        <v>3</v>
      </c>
      <c r="D6" s="18" t="s">
        <v>20</v>
      </c>
      <c r="E6" s="18">
        <v>2021</v>
      </c>
    </row>
    <row r="7" spans="1:5" x14ac:dyDescent="0.3">
      <c r="A7" s="41">
        <v>44533</v>
      </c>
      <c r="B7" s="26" t="str">
        <f t="shared" si="0"/>
        <v>20211203</v>
      </c>
      <c r="C7" s="19">
        <v>3</v>
      </c>
      <c r="D7" s="19" t="s">
        <v>20</v>
      </c>
      <c r="E7" s="19">
        <v>2021</v>
      </c>
    </row>
    <row r="8" spans="1:5" x14ac:dyDescent="0.3">
      <c r="A8" s="26">
        <v>44533</v>
      </c>
      <c r="B8" s="26" t="str">
        <f t="shared" si="0"/>
        <v>20211203</v>
      </c>
      <c r="C8" s="18">
        <v>3</v>
      </c>
      <c r="D8" s="18" t="s">
        <v>20</v>
      </c>
      <c r="E8" s="18">
        <v>2021</v>
      </c>
    </row>
    <row r="9" spans="1:5" s="4" customFormat="1" x14ac:dyDescent="0.3">
      <c r="A9" s="41">
        <v>44534</v>
      </c>
      <c r="B9" s="26" t="str">
        <f t="shared" si="0"/>
        <v>20211204</v>
      </c>
      <c r="C9" s="19">
        <v>4</v>
      </c>
      <c r="D9" s="19" t="s">
        <v>20</v>
      </c>
      <c r="E9" s="19">
        <v>2021</v>
      </c>
    </row>
    <row r="10" spans="1:5" x14ac:dyDescent="0.3">
      <c r="A10" s="26">
        <v>44535</v>
      </c>
      <c r="B10" s="26" t="str">
        <f t="shared" si="0"/>
        <v>20211205</v>
      </c>
      <c r="C10" s="18">
        <v>5</v>
      </c>
      <c r="D10" s="18" t="s">
        <v>20</v>
      </c>
      <c r="E10" s="18">
        <v>2021</v>
      </c>
    </row>
    <row r="11" spans="1:5" x14ac:dyDescent="0.3">
      <c r="A11" s="41">
        <v>44535</v>
      </c>
      <c r="B11" s="26" t="str">
        <f t="shared" si="0"/>
        <v>20211205</v>
      </c>
      <c r="C11" s="19">
        <v>5</v>
      </c>
      <c r="D11" s="19" t="s">
        <v>20</v>
      </c>
      <c r="E11" s="19">
        <v>2021</v>
      </c>
    </row>
    <row r="12" spans="1:5" x14ac:dyDescent="0.3">
      <c r="A12" s="26">
        <v>44535</v>
      </c>
      <c r="B12" s="26" t="str">
        <f t="shared" si="0"/>
        <v>20211205</v>
      </c>
      <c r="C12" s="18">
        <v>5</v>
      </c>
      <c r="D12" s="18" t="s">
        <v>20</v>
      </c>
      <c r="E12" s="18">
        <v>2021</v>
      </c>
    </row>
    <row r="13" spans="1:5" x14ac:dyDescent="0.3">
      <c r="A13" s="41">
        <v>44535</v>
      </c>
      <c r="B13" s="26" t="str">
        <f t="shared" si="0"/>
        <v>20211205</v>
      </c>
      <c r="C13" s="19">
        <v>5</v>
      </c>
      <c r="D13" s="19" t="s">
        <v>20</v>
      </c>
      <c r="E13" s="19">
        <v>2021</v>
      </c>
    </row>
    <row r="14" spans="1:5" x14ac:dyDescent="0.3">
      <c r="A14" s="26">
        <v>44536</v>
      </c>
      <c r="B14" s="26" t="str">
        <f t="shared" si="0"/>
        <v>20211206</v>
      </c>
      <c r="C14" s="18">
        <v>6</v>
      </c>
      <c r="D14" s="18" t="s">
        <v>20</v>
      </c>
      <c r="E14" s="18">
        <v>2021</v>
      </c>
    </row>
    <row r="15" spans="1:5" x14ac:dyDescent="0.3">
      <c r="A15" s="41">
        <v>44536</v>
      </c>
      <c r="B15" s="26" t="str">
        <f t="shared" si="0"/>
        <v>20211206</v>
      </c>
      <c r="C15" s="19">
        <v>6</v>
      </c>
      <c r="D15" s="19" t="s">
        <v>20</v>
      </c>
      <c r="E15" s="19">
        <v>2021</v>
      </c>
    </row>
    <row r="16" spans="1:5" x14ac:dyDescent="0.3">
      <c r="A16" s="26">
        <v>44536</v>
      </c>
      <c r="B16" s="26" t="str">
        <f t="shared" si="0"/>
        <v>20211206</v>
      </c>
      <c r="C16" s="18">
        <v>6</v>
      </c>
      <c r="D16" s="18" t="s">
        <v>20</v>
      </c>
      <c r="E16" s="18">
        <v>2021</v>
      </c>
    </row>
    <row r="17" spans="1:5" x14ac:dyDescent="0.3">
      <c r="A17" s="41">
        <v>44536</v>
      </c>
      <c r="B17" s="26" t="str">
        <f t="shared" si="0"/>
        <v>20211206</v>
      </c>
      <c r="C17" s="19">
        <v>6</v>
      </c>
      <c r="D17" s="19" t="s">
        <v>20</v>
      </c>
      <c r="E17" s="19">
        <v>2021</v>
      </c>
    </row>
    <row r="18" spans="1:5" x14ac:dyDescent="0.3">
      <c r="A18" s="26">
        <v>44537</v>
      </c>
      <c r="B18" s="26" t="str">
        <f t="shared" si="0"/>
        <v>20211207</v>
      </c>
      <c r="C18" s="18">
        <v>7</v>
      </c>
      <c r="D18" s="18" t="s">
        <v>170</v>
      </c>
      <c r="E18" s="18">
        <v>2021</v>
      </c>
    </row>
    <row r="19" spans="1:5" x14ac:dyDescent="0.3">
      <c r="A19" s="41">
        <v>44537</v>
      </c>
      <c r="B19" s="26" t="str">
        <f t="shared" si="0"/>
        <v>20211207</v>
      </c>
      <c r="C19" s="19">
        <v>7</v>
      </c>
      <c r="D19" s="19" t="s">
        <v>20</v>
      </c>
      <c r="E19" s="19">
        <v>2021</v>
      </c>
    </row>
    <row r="20" spans="1:5" x14ac:dyDescent="0.3">
      <c r="A20" s="26">
        <v>44538</v>
      </c>
      <c r="B20" s="26" t="str">
        <f t="shared" si="0"/>
        <v>20211208</v>
      </c>
      <c r="C20" s="18">
        <v>8</v>
      </c>
      <c r="D20" s="18" t="s">
        <v>20</v>
      </c>
      <c r="E20" s="18">
        <v>2021</v>
      </c>
    </row>
    <row r="21" spans="1:5" x14ac:dyDescent="0.3">
      <c r="A21" s="41">
        <v>44538</v>
      </c>
      <c r="B21" s="26" t="str">
        <f t="shared" si="0"/>
        <v>20211208</v>
      </c>
      <c r="C21" s="19">
        <v>8</v>
      </c>
      <c r="D21" s="19" t="s">
        <v>20</v>
      </c>
      <c r="E21" s="19">
        <v>2021</v>
      </c>
    </row>
    <row r="22" spans="1:5" x14ac:dyDescent="0.3">
      <c r="A22" s="26">
        <v>44538</v>
      </c>
      <c r="B22" s="26" t="str">
        <f t="shared" si="0"/>
        <v>20211208</v>
      </c>
      <c r="C22" s="18">
        <v>8</v>
      </c>
      <c r="D22" s="18" t="s">
        <v>20</v>
      </c>
      <c r="E22" s="18">
        <v>2021</v>
      </c>
    </row>
    <row r="23" spans="1:5" x14ac:dyDescent="0.3">
      <c r="A23" s="41">
        <v>44538</v>
      </c>
      <c r="B23" s="26" t="str">
        <f t="shared" si="0"/>
        <v>20211208</v>
      </c>
      <c r="C23" s="19">
        <v>8</v>
      </c>
      <c r="D23" s="19" t="s">
        <v>20</v>
      </c>
      <c r="E23" s="19">
        <v>2021</v>
      </c>
    </row>
    <row r="24" spans="1:5" x14ac:dyDescent="0.3">
      <c r="A24" s="26">
        <v>44539</v>
      </c>
      <c r="B24" s="26" t="str">
        <f t="shared" si="0"/>
        <v>20211209</v>
      </c>
      <c r="C24" s="18">
        <v>9</v>
      </c>
      <c r="D24" s="18" t="s">
        <v>20</v>
      </c>
      <c r="E24" s="18">
        <v>2021</v>
      </c>
    </row>
    <row r="25" spans="1:5" x14ac:dyDescent="0.3">
      <c r="A25" s="41">
        <v>44539</v>
      </c>
      <c r="B25" s="26" t="str">
        <f t="shared" si="0"/>
        <v>20211209</v>
      </c>
      <c r="C25" s="19">
        <v>9</v>
      </c>
      <c r="D25" s="19" t="s">
        <v>20</v>
      </c>
      <c r="E25" s="19">
        <v>2021</v>
      </c>
    </row>
    <row r="26" spans="1:5" x14ac:dyDescent="0.3">
      <c r="A26" s="26">
        <v>44540</v>
      </c>
      <c r="B26" s="26" t="str">
        <f t="shared" si="0"/>
        <v>20211210</v>
      </c>
      <c r="C26" s="18">
        <v>10</v>
      </c>
      <c r="D26" s="18" t="s">
        <v>20</v>
      </c>
      <c r="E26" s="18">
        <v>2021</v>
      </c>
    </row>
    <row r="27" spans="1:5" x14ac:dyDescent="0.3">
      <c r="A27" s="41">
        <v>44540</v>
      </c>
      <c r="B27" s="26" t="str">
        <f t="shared" si="0"/>
        <v>20211210</v>
      </c>
      <c r="C27" s="19">
        <v>10</v>
      </c>
      <c r="D27" s="19" t="s">
        <v>20</v>
      </c>
      <c r="E27" s="19">
        <v>2021</v>
      </c>
    </row>
    <row r="28" spans="1:5" x14ac:dyDescent="0.3">
      <c r="A28" s="26">
        <v>44540</v>
      </c>
      <c r="B28" s="26" t="str">
        <f t="shared" si="0"/>
        <v>20211210</v>
      </c>
      <c r="C28" s="18">
        <v>10</v>
      </c>
      <c r="D28" s="18" t="s">
        <v>20</v>
      </c>
      <c r="E28" s="18">
        <v>2021</v>
      </c>
    </row>
    <row r="29" spans="1:5" x14ac:dyDescent="0.3">
      <c r="A29" s="41">
        <v>44540</v>
      </c>
      <c r="B29" s="26" t="str">
        <f t="shared" si="0"/>
        <v>20211210</v>
      </c>
      <c r="C29" s="19">
        <v>10</v>
      </c>
      <c r="D29" s="19" t="s">
        <v>20</v>
      </c>
      <c r="E29" s="19">
        <v>2021</v>
      </c>
    </row>
    <row r="30" spans="1:5" x14ac:dyDescent="0.3">
      <c r="A30" s="26">
        <v>44540</v>
      </c>
      <c r="B30" s="26" t="str">
        <f t="shared" si="0"/>
        <v>20211210</v>
      </c>
      <c r="C30" s="18">
        <v>10</v>
      </c>
      <c r="D30" s="18" t="s">
        <v>20</v>
      </c>
      <c r="E30" s="18">
        <v>2021</v>
      </c>
    </row>
    <row r="31" spans="1:5" x14ac:dyDescent="0.3">
      <c r="A31" s="41">
        <v>44540</v>
      </c>
      <c r="B31" s="26" t="str">
        <f t="shared" si="0"/>
        <v>20211210</v>
      </c>
      <c r="C31" s="19">
        <v>10</v>
      </c>
      <c r="D31" s="19" t="s">
        <v>20</v>
      </c>
      <c r="E31" s="19">
        <v>2021</v>
      </c>
    </row>
    <row r="32" spans="1:5" x14ac:dyDescent="0.3">
      <c r="A32" s="26">
        <v>44541</v>
      </c>
      <c r="B32" s="26" t="str">
        <f t="shared" si="0"/>
        <v>20211211</v>
      </c>
      <c r="C32" s="18">
        <v>11</v>
      </c>
      <c r="D32" s="18" t="s">
        <v>20</v>
      </c>
      <c r="E32" s="18">
        <v>2021</v>
      </c>
    </row>
    <row r="33" spans="1:5" x14ac:dyDescent="0.3">
      <c r="A33" s="41">
        <v>44541</v>
      </c>
      <c r="B33" s="26" t="str">
        <f t="shared" si="0"/>
        <v>20211211</v>
      </c>
      <c r="C33" s="19">
        <v>11</v>
      </c>
      <c r="D33" s="19" t="s">
        <v>20</v>
      </c>
      <c r="E33" s="19">
        <v>2021</v>
      </c>
    </row>
    <row r="34" spans="1:5" x14ac:dyDescent="0.3">
      <c r="A34" s="26">
        <v>44541</v>
      </c>
      <c r="B34" s="26" t="str">
        <f t="shared" ref="B34:B65" si="1">YEAR(A34)&amp;TEXT(MONTH(A34),"00")&amp;TEXT(DAY(A34),"00")</f>
        <v>20211211</v>
      </c>
      <c r="C34" s="18">
        <v>11</v>
      </c>
      <c r="D34" s="18" t="s">
        <v>20</v>
      </c>
      <c r="E34" s="18">
        <v>2021</v>
      </c>
    </row>
    <row r="35" spans="1:5" x14ac:dyDescent="0.3">
      <c r="A35" s="41">
        <v>44541</v>
      </c>
      <c r="B35" s="26" t="str">
        <f t="shared" si="1"/>
        <v>20211211</v>
      </c>
      <c r="C35" s="19">
        <v>11</v>
      </c>
      <c r="D35" s="19" t="s">
        <v>20</v>
      </c>
      <c r="E35" s="19">
        <v>2021</v>
      </c>
    </row>
    <row r="36" spans="1:5" x14ac:dyDescent="0.3">
      <c r="A36" s="26">
        <v>44541</v>
      </c>
      <c r="B36" s="26" t="str">
        <f t="shared" si="1"/>
        <v>20211211</v>
      </c>
      <c r="C36" s="18">
        <v>11</v>
      </c>
      <c r="D36" s="18" t="s">
        <v>20</v>
      </c>
      <c r="E36" s="18">
        <v>2021</v>
      </c>
    </row>
    <row r="37" spans="1:5" x14ac:dyDescent="0.3">
      <c r="A37" s="41">
        <v>44542</v>
      </c>
      <c r="B37" s="26" t="str">
        <f t="shared" si="1"/>
        <v>20211212</v>
      </c>
      <c r="C37" s="19">
        <v>12</v>
      </c>
      <c r="D37" s="19" t="s">
        <v>20</v>
      </c>
      <c r="E37" s="19">
        <v>2021</v>
      </c>
    </row>
    <row r="38" spans="1:5" x14ac:dyDescent="0.3">
      <c r="A38" s="26">
        <v>44542</v>
      </c>
      <c r="B38" s="26" t="str">
        <f t="shared" si="1"/>
        <v>20211212</v>
      </c>
      <c r="C38" s="18">
        <v>12</v>
      </c>
      <c r="D38" s="18" t="s">
        <v>20</v>
      </c>
      <c r="E38" s="18">
        <v>2021</v>
      </c>
    </row>
    <row r="39" spans="1:5" x14ac:dyDescent="0.3">
      <c r="A39" s="41">
        <v>44542</v>
      </c>
      <c r="B39" s="26" t="str">
        <f t="shared" si="1"/>
        <v>20211212</v>
      </c>
      <c r="C39" s="19">
        <v>12</v>
      </c>
      <c r="D39" s="19" t="s">
        <v>20</v>
      </c>
      <c r="E39" s="19">
        <v>2021</v>
      </c>
    </row>
    <row r="40" spans="1:5" x14ac:dyDescent="0.3">
      <c r="A40" s="26">
        <v>44542</v>
      </c>
      <c r="B40" s="26" t="str">
        <f t="shared" si="1"/>
        <v>20211212</v>
      </c>
      <c r="C40" s="18">
        <v>12</v>
      </c>
      <c r="D40" s="18" t="s">
        <v>20</v>
      </c>
      <c r="E40" s="18">
        <v>2021</v>
      </c>
    </row>
    <row r="41" spans="1:5" x14ac:dyDescent="0.3">
      <c r="A41" s="41">
        <v>44542</v>
      </c>
      <c r="B41" s="26" t="str">
        <f t="shared" si="1"/>
        <v>20211212</v>
      </c>
      <c r="C41" s="19">
        <v>12</v>
      </c>
      <c r="D41" s="19" t="s">
        <v>20</v>
      </c>
      <c r="E41" s="19">
        <v>2021</v>
      </c>
    </row>
    <row r="42" spans="1:5" x14ac:dyDescent="0.3">
      <c r="A42" s="26">
        <v>44543</v>
      </c>
      <c r="B42" s="26" t="str">
        <f t="shared" si="1"/>
        <v>20211213</v>
      </c>
      <c r="C42" s="18">
        <v>13</v>
      </c>
      <c r="D42" s="18" t="s">
        <v>20</v>
      </c>
      <c r="E42" s="18">
        <v>2021</v>
      </c>
    </row>
    <row r="43" spans="1:5" x14ac:dyDescent="0.3">
      <c r="A43" s="41">
        <v>44543</v>
      </c>
      <c r="B43" s="26" t="str">
        <f t="shared" si="1"/>
        <v>20211213</v>
      </c>
      <c r="C43" s="19">
        <v>13</v>
      </c>
      <c r="D43" s="19" t="s">
        <v>20</v>
      </c>
      <c r="E43" s="19">
        <v>2021</v>
      </c>
    </row>
    <row r="44" spans="1:5" x14ac:dyDescent="0.3">
      <c r="A44" s="26">
        <v>44543</v>
      </c>
      <c r="B44" s="26" t="str">
        <f t="shared" si="1"/>
        <v>20211213</v>
      </c>
      <c r="C44" s="18">
        <v>13</v>
      </c>
      <c r="D44" s="18" t="s">
        <v>20</v>
      </c>
      <c r="E44" s="18">
        <v>2021</v>
      </c>
    </row>
    <row r="45" spans="1:5" x14ac:dyDescent="0.3">
      <c r="A45" s="41">
        <v>44543</v>
      </c>
      <c r="B45" s="26" t="str">
        <f t="shared" si="1"/>
        <v>20211213</v>
      </c>
      <c r="C45" s="19">
        <v>13</v>
      </c>
      <c r="D45" s="19" t="s">
        <v>20</v>
      </c>
      <c r="E45" s="19">
        <v>2021</v>
      </c>
    </row>
    <row r="46" spans="1:5" x14ac:dyDescent="0.3">
      <c r="A46" s="26">
        <v>44544</v>
      </c>
      <c r="B46" s="26" t="str">
        <f t="shared" si="1"/>
        <v>20211214</v>
      </c>
      <c r="C46" s="18">
        <v>14</v>
      </c>
      <c r="D46" s="18" t="s">
        <v>20</v>
      </c>
      <c r="E46" s="18">
        <v>2021</v>
      </c>
    </row>
    <row r="47" spans="1:5" x14ac:dyDescent="0.3">
      <c r="A47" s="41">
        <v>44544</v>
      </c>
      <c r="B47" s="26" t="str">
        <f t="shared" si="1"/>
        <v>20211214</v>
      </c>
      <c r="C47" s="19">
        <v>14</v>
      </c>
      <c r="D47" s="19" t="s">
        <v>20</v>
      </c>
      <c r="E47" s="19">
        <v>2021</v>
      </c>
    </row>
    <row r="48" spans="1:5" x14ac:dyDescent="0.3">
      <c r="A48" s="26">
        <v>44544</v>
      </c>
      <c r="B48" s="26" t="str">
        <f t="shared" si="1"/>
        <v>20211214</v>
      </c>
      <c r="C48" s="18">
        <v>14</v>
      </c>
      <c r="D48" s="18" t="s">
        <v>20</v>
      </c>
      <c r="E48" s="18">
        <v>2021</v>
      </c>
    </row>
    <row r="49" spans="1:5" x14ac:dyDescent="0.3">
      <c r="A49" s="41">
        <v>44545</v>
      </c>
      <c r="B49" s="26" t="str">
        <f t="shared" si="1"/>
        <v>20211215</v>
      </c>
      <c r="C49" s="19">
        <v>15</v>
      </c>
      <c r="D49" s="19" t="s">
        <v>20</v>
      </c>
      <c r="E49" s="19">
        <v>2021</v>
      </c>
    </row>
    <row r="50" spans="1:5" x14ac:dyDescent="0.3">
      <c r="A50" s="26">
        <v>44546</v>
      </c>
      <c r="B50" s="26" t="str">
        <f t="shared" si="1"/>
        <v>20211216</v>
      </c>
      <c r="C50" s="18">
        <v>16</v>
      </c>
      <c r="D50" s="18" t="s">
        <v>20</v>
      </c>
      <c r="E50" s="18">
        <v>2021</v>
      </c>
    </row>
    <row r="51" spans="1:5" x14ac:dyDescent="0.3">
      <c r="A51" s="41">
        <v>44546</v>
      </c>
      <c r="B51" s="26" t="str">
        <f t="shared" si="1"/>
        <v>20211216</v>
      </c>
      <c r="C51" s="19">
        <v>16</v>
      </c>
      <c r="D51" s="19" t="s">
        <v>20</v>
      </c>
      <c r="E51" s="19">
        <v>2021</v>
      </c>
    </row>
    <row r="52" spans="1:5" x14ac:dyDescent="0.3">
      <c r="A52" s="26">
        <v>44546</v>
      </c>
      <c r="B52" s="26" t="str">
        <f t="shared" si="1"/>
        <v>20211216</v>
      </c>
      <c r="C52" s="18">
        <v>16</v>
      </c>
      <c r="D52" s="18" t="s">
        <v>20</v>
      </c>
      <c r="E52" s="18">
        <v>2021</v>
      </c>
    </row>
    <row r="53" spans="1:5" x14ac:dyDescent="0.3">
      <c r="A53" s="41">
        <v>44547</v>
      </c>
      <c r="B53" s="26" t="str">
        <f t="shared" si="1"/>
        <v>20211217</v>
      </c>
      <c r="C53" s="19">
        <v>17</v>
      </c>
      <c r="D53" s="19" t="s">
        <v>20</v>
      </c>
      <c r="E53" s="19">
        <v>2021</v>
      </c>
    </row>
    <row r="54" spans="1:5" x14ac:dyDescent="0.3">
      <c r="A54" s="26">
        <v>44547</v>
      </c>
      <c r="B54" s="26" t="str">
        <f t="shared" si="1"/>
        <v>20211217</v>
      </c>
      <c r="C54" s="18">
        <v>17</v>
      </c>
      <c r="D54" s="18" t="s">
        <v>20</v>
      </c>
      <c r="E54" s="18">
        <v>2021</v>
      </c>
    </row>
    <row r="55" spans="1:5" x14ac:dyDescent="0.3">
      <c r="A55" s="41">
        <v>44547</v>
      </c>
      <c r="B55" s="26" t="str">
        <f t="shared" si="1"/>
        <v>20211217</v>
      </c>
      <c r="C55" s="19">
        <v>17</v>
      </c>
      <c r="D55" s="19" t="s">
        <v>20</v>
      </c>
      <c r="E55" s="19">
        <v>2021</v>
      </c>
    </row>
    <row r="56" spans="1:5" x14ac:dyDescent="0.3">
      <c r="A56" s="26">
        <v>44548</v>
      </c>
      <c r="B56" s="26" t="str">
        <f t="shared" si="1"/>
        <v>20211218</v>
      </c>
      <c r="C56" s="18">
        <v>18</v>
      </c>
      <c r="D56" s="18" t="s">
        <v>20</v>
      </c>
      <c r="E56" s="18">
        <v>2021</v>
      </c>
    </row>
    <row r="57" spans="1:5" x14ac:dyDescent="0.3">
      <c r="A57" s="41">
        <v>44548</v>
      </c>
      <c r="B57" s="26" t="str">
        <f t="shared" si="1"/>
        <v>20211218</v>
      </c>
      <c r="C57" s="19">
        <v>18</v>
      </c>
      <c r="D57" s="19" t="s">
        <v>20</v>
      </c>
      <c r="E57" s="19">
        <v>2021</v>
      </c>
    </row>
    <row r="58" spans="1:5" x14ac:dyDescent="0.3">
      <c r="A58" s="26">
        <v>44548</v>
      </c>
      <c r="B58" s="26" t="str">
        <f t="shared" si="1"/>
        <v>20211218</v>
      </c>
      <c r="C58" s="18">
        <v>18</v>
      </c>
      <c r="D58" s="18" t="s">
        <v>20</v>
      </c>
      <c r="E58" s="18">
        <v>2021</v>
      </c>
    </row>
    <row r="59" spans="1:5" x14ac:dyDescent="0.3">
      <c r="A59" s="41">
        <v>44548</v>
      </c>
      <c r="B59" s="26" t="str">
        <f t="shared" si="1"/>
        <v>20211218</v>
      </c>
      <c r="C59" s="19">
        <v>18</v>
      </c>
      <c r="D59" s="19" t="s">
        <v>20</v>
      </c>
      <c r="E59" s="19">
        <v>2021</v>
      </c>
    </row>
    <row r="60" spans="1:5" x14ac:dyDescent="0.3">
      <c r="A60" s="26">
        <v>44548</v>
      </c>
      <c r="B60" s="26" t="str">
        <f t="shared" si="1"/>
        <v>20211218</v>
      </c>
      <c r="C60" s="18">
        <v>18</v>
      </c>
      <c r="D60" s="18" t="s">
        <v>20</v>
      </c>
      <c r="E60" s="18">
        <v>2021</v>
      </c>
    </row>
    <row r="61" spans="1:5" x14ac:dyDescent="0.3">
      <c r="A61" s="41">
        <v>44548</v>
      </c>
      <c r="B61" s="26" t="str">
        <f t="shared" si="1"/>
        <v>20211218</v>
      </c>
      <c r="C61" s="19">
        <v>18</v>
      </c>
      <c r="D61" s="19" t="s">
        <v>20</v>
      </c>
      <c r="E61" s="19">
        <v>2021</v>
      </c>
    </row>
    <row r="62" spans="1:5" x14ac:dyDescent="0.3">
      <c r="A62" s="26">
        <v>44548</v>
      </c>
      <c r="B62" s="26" t="str">
        <f t="shared" si="1"/>
        <v>20211218</v>
      </c>
      <c r="C62" s="18">
        <v>18</v>
      </c>
      <c r="D62" s="18" t="s">
        <v>20</v>
      </c>
      <c r="E62" s="18">
        <v>2021</v>
      </c>
    </row>
    <row r="63" spans="1:5" x14ac:dyDescent="0.3">
      <c r="A63" s="41">
        <v>44549</v>
      </c>
      <c r="B63" s="26" t="str">
        <f t="shared" si="1"/>
        <v>20211219</v>
      </c>
      <c r="C63" s="19">
        <v>19</v>
      </c>
      <c r="D63" s="19" t="s">
        <v>20</v>
      </c>
      <c r="E63" s="19">
        <v>2021</v>
      </c>
    </row>
    <row r="64" spans="1:5" x14ac:dyDescent="0.3">
      <c r="A64" s="26">
        <v>44549</v>
      </c>
      <c r="B64" s="26" t="str">
        <f t="shared" si="1"/>
        <v>20211219</v>
      </c>
      <c r="C64" s="18">
        <v>19</v>
      </c>
      <c r="D64" s="18" t="s">
        <v>20</v>
      </c>
      <c r="E64" s="18">
        <v>2021</v>
      </c>
    </row>
    <row r="65" spans="1:5" x14ac:dyDescent="0.3">
      <c r="A65" s="41">
        <v>44549</v>
      </c>
      <c r="B65" s="26" t="str">
        <f t="shared" si="1"/>
        <v>20211219</v>
      </c>
      <c r="C65" s="19">
        <v>19</v>
      </c>
      <c r="D65" s="19" t="s">
        <v>20</v>
      </c>
      <c r="E65" s="19">
        <v>2021</v>
      </c>
    </row>
    <row r="66" spans="1:5" x14ac:dyDescent="0.3">
      <c r="A66" s="26">
        <v>44549</v>
      </c>
      <c r="B66" s="26" t="str">
        <f t="shared" ref="B66:B89" si="2">YEAR(A66)&amp;TEXT(MONTH(A66),"00")&amp;TEXT(DAY(A66),"00")</f>
        <v>20211219</v>
      </c>
      <c r="C66" s="18">
        <v>19</v>
      </c>
      <c r="D66" s="18" t="s">
        <v>20</v>
      </c>
      <c r="E66" s="18">
        <v>2021</v>
      </c>
    </row>
    <row r="67" spans="1:5" x14ac:dyDescent="0.3">
      <c r="A67" s="41">
        <v>44549</v>
      </c>
      <c r="B67" s="26" t="str">
        <f t="shared" si="2"/>
        <v>20211219</v>
      </c>
      <c r="C67" s="19">
        <v>19</v>
      </c>
      <c r="D67" s="19" t="s">
        <v>20</v>
      </c>
      <c r="E67" s="19">
        <v>2021</v>
      </c>
    </row>
    <row r="68" spans="1:5" x14ac:dyDescent="0.3">
      <c r="A68" s="26">
        <v>44549</v>
      </c>
      <c r="B68" s="26" t="str">
        <f t="shared" si="2"/>
        <v>20211219</v>
      </c>
      <c r="C68" s="18">
        <v>19</v>
      </c>
      <c r="D68" s="18" t="s">
        <v>20</v>
      </c>
      <c r="E68" s="18">
        <v>2021</v>
      </c>
    </row>
    <row r="69" spans="1:5" x14ac:dyDescent="0.3">
      <c r="A69" s="41">
        <v>44549</v>
      </c>
      <c r="B69" s="26" t="str">
        <f t="shared" si="2"/>
        <v>20211219</v>
      </c>
      <c r="C69" s="19">
        <v>19</v>
      </c>
      <c r="D69" s="19" t="s">
        <v>20</v>
      </c>
      <c r="E69" s="19">
        <v>2021</v>
      </c>
    </row>
    <row r="70" spans="1:5" x14ac:dyDescent="0.3">
      <c r="A70" s="26">
        <v>44549</v>
      </c>
      <c r="B70" s="26" t="str">
        <f t="shared" si="2"/>
        <v>20211219</v>
      </c>
      <c r="C70" s="18">
        <v>19</v>
      </c>
      <c r="D70" s="18" t="s">
        <v>20</v>
      </c>
      <c r="E70" s="18">
        <v>2021</v>
      </c>
    </row>
    <row r="71" spans="1:5" x14ac:dyDescent="0.3">
      <c r="A71" s="41">
        <v>44549</v>
      </c>
      <c r="B71" s="26" t="str">
        <f t="shared" si="2"/>
        <v>20211219</v>
      </c>
      <c r="C71" s="19">
        <v>19</v>
      </c>
      <c r="D71" s="19" t="s">
        <v>20</v>
      </c>
      <c r="E71" s="19">
        <v>2021</v>
      </c>
    </row>
    <row r="72" spans="1:5" x14ac:dyDescent="0.3">
      <c r="A72" s="26">
        <v>44549</v>
      </c>
      <c r="B72" s="26" t="str">
        <f t="shared" si="2"/>
        <v>20211219</v>
      </c>
      <c r="C72" s="18">
        <v>19</v>
      </c>
      <c r="D72" s="18" t="s">
        <v>20</v>
      </c>
      <c r="E72" s="18">
        <v>2021</v>
      </c>
    </row>
    <row r="73" spans="1:5" x14ac:dyDescent="0.3">
      <c r="A73" s="41">
        <v>44550</v>
      </c>
      <c r="B73" s="26" t="str">
        <f t="shared" si="2"/>
        <v>20211220</v>
      </c>
      <c r="C73" s="19">
        <v>20</v>
      </c>
      <c r="D73" s="19" t="s">
        <v>20</v>
      </c>
      <c r="E73" s="19">
        <v>2021</v>
      </c>
    </row>
    <row r="74" spans="1:5" x14ac:dyDescent="0.3">
      <c r="A74" s="26">
        <v>44550</v>
      </c>
      <c r="B74" s="26" t="str">
        <f t="shared" si="2"/>
        <v>20211220</v>
      </c>
      <c r="C74" s="18">
        <v>20</v>
      </c>
      <c r="D74" s="18" t="s">
        <v>20</v>
      </c>
      <c r="E74" s="18">
        <v>2021</v>
      </c>
    </row>
    <row r="75" spans="1:5" x14ac:dyDescent="0.3">
      <c r="A75" s="41">
        <v>44550</v>
      </c>
      <c r="B75" s="26" t="str">
        <f t="shared" si="2"/>
        <v>20211220</v>
      </c>
      <c r="C75" s="19">
        <v>20</v>
      </c>
      <c r="D75" s="19" t="s">
        <v>20</v>
      </c>
      <c r="E75" s="19">
        <v>2021</v>
      </c>
    </row>
    <row r="76" spans="1:5" x14ac:dyDescent="0.3">
      <c r="A76" s="26">
        <v>44550</v>
      </c>
      <c r="B76" s="26" t="str">
        <f t="shared" si="2"/>
        <v>20211220</v>
      </c>
      <c r="C76" s="18">
        <v>20</v>
      </c>
      <c r="D76" s="18" t="s">
        <v>20</v>
      </c>
      <c r="E76" s="18">
        <v>2021</v>
      </c>
    </row>
    <row r="77" spans="1:5" x14ac:dyDescent="0.3">
      <c r="A77" s="41">
        <v>44550</v>
      </c>
      <c r="B77" s="26" t="str">
        <f t="shared" si="2"/>
        <v>20211220</v>
      </c>
      <c r="C77" s="19">
        <v>20</v>
      </c>
      <c r="D77" s="19" t="s">
        <v>20</v>
      </c>
      <c r="E77" s="19">
        <v>2021</v>
      </c>
    </row>
    <row r="78" spans="1:5" x14ac:dyDescent="0.3">
      <c r="A78" s="26">
        <v>44551</v>
      </c>
      <c r="B78" s="26" t="str">
        <f t="shared" si="2"/>
        <v>20211221</v>
      </c>
      <c r="C78" s="18">
        <v>21</v>
      </c>
      <c r="D78" s="18" t="s">
        <v>20</v>
      </c>
      <c r="E78" s="18">
        <v>2021</v>
      </c>
    </row>
    <row r="79" spans="1:5" x14ac:dyDescent="0.3">
      <c r="A79" s="41">
        <v>44551</v>
      </c>
      <c r="B79" s="26" t="str">
        <f t="shared" si="2"/>
        <v>20211221</v>
      </c>
      <c r="C79" s="19">
        <v>21</v>
      </c>
      <c r="D79" s="19" t="s">
        <v>20</v>
      </c>
      <c r="E79" s="19">
        <v>2021</v>
      </c>
    </row>
    <row r="80" spans="1:5" x14ac:dyDescent="0.3">
      <c r="A80" s="26">
        <v>44552</v>
      </c>
      <c r="B80" s="26" t="str">
        <f t="shared" si="2"/>
        <v>20211222</v>
      </c>
      <c r="C80" s="18">
        <v>22</v>
      </c>
      <c r="D80" s="18" t="s">
        <v>20</v>
      </c>
      <c r="E80" s="18">
        <v>2021</v>
      </c>
    </row>
    <row r="81" spans="1:5" x14ac:dyDescent="0.3">
      <c r="A81" s="41">
        <v>44552</v>
      </c>
      <c r="B81" s="26" t="str">
        <f t="shared" si="2"/>
        <v>20211222</v>
      </c>
      <c r="C81" s="19">
        <v>22</v>
      </c>
      <c r="D81" s="19" t="s">
        <v>20</v>
      </c>
      <c r="E81" s="19">
        <v>2021</v>
      </c>
    </row>
    <row r="82" spans="1:5" x14ac:dyDescent="0.3">
      <c r="A82" s="26">
        <v>44552</v>
      </c>
      <c r="B82" s="26" t="str">
        <f t="shared" si="2"/>
        <v>20211222</v>
      </c>
      <c r="C82" s="18">
        <v>22</v>
      </c>
      <c r="D82" s="18" t="s">
        <v>20</v>
      </c>
      <c r="E82" s="18">
        <v>2021</v>
      </c>
    </row>
    <row r="83" spans="1:5" x14ac:dyDescent="0.3">
      <c r="A83" s="41">
        <v>44552</v>
      </c>
      <c r="B83" s="26" t="str">
        <f t="shared" si="2"/>
        <v>20211222</v>
      </c>
      <c r="C83" s="19">
        <v>22</v>
      </c>
      <c r="D83" s="19" t="s">
        <v>20</v>
      </c>
      <c r="E83" s="19">
        <v>2021</v>
      </c>
    </row>
    <row r="84" spans="1:5" x14ac:dyDescent="0.3">
      <c r="A84" s="26">
        <v>44552</v>
      </c>
      <c r="B84" s="26" t="str">
        <f t="shared" si="2"/>
        <v>20211222</v>
      </c>
      <c r="C84" s="18">
        <v>22</v>
      </c>
      <c r="D84" s="18" t="s">
        <v>20</v>
      </c>
      <c r="E84" s="18">
        <v>2021</v>
      </c>
    </row>
    <row r="85" spans="1:5" x14ac:dyDescent="0.3">
      <c r="A85" s="41">
        <v>44552</v>
      </c>
      <c r="B85" s="26" t="str">
        <f t="shared" si="2"/>
        <v>20211222</v>
      </c>
      <c r="C85" s="19">
        <v>22</v>
      </c>
      <c r="D85" s="19" t="s">
        <v>20</v>
      </c>
      <c r="E85" s="19">
        <v>2021</v>
      </c>
    </row>
    <row r="86" spans="1:5" x14ac:dyDescent="0.3">
      <c r="A86" s="26">
        <v>44553</v>
      </c>
      <c r="B86" s="26" t="str">
        <f t="shared" si="2"/>
        <v>20211223</v>
      </c>
      <c r="C86" s="18">
        <v>23</v>
      </c>
      <c r="D86" s="18" t="s">
        <v>20</v>
      </c>
      <c r="E86" s="18">
        <v>2021</v>
      </c>
    </row>
    <row r="87" spans="1:5" x14ac:dyDescent="0.3">
      <c r="A87" s="41">
        <v>44553</v>
      </c>
      <c r="B87" s="26" t="str">
        <f t="shared" si="2"/>
        <v>20211223</v>
      </c>
      <c r="C87" s="19">
        <v>23</v>
      </c>
      <c r="D87" s="19" t="s">
        <v>20</v>
      </c>
      <c r="E87" s="19">
        <v>2021</v>
      </c>
    </row>
    <row r="88" spans="1:5" x14ac:dyDescent="0.3">
      <c r="A88" s="26">
        <v>44553</v>
      </c>
      <c r="B88" s="26" t="str">
        <f t="shared" si="2"/>
        <v>20211223</v>
      </c>
      <c r="C88" s="18">
        <v>23</v>
      </c>
      <c r="D88" s="18" t="s">
        <v>20</v>
      </c>
      <c r="E88" s="18">
        <v>2021</v>
      </c>
    </row>
    <row r="89" spans="1:5" x14ac:dyDescent="0.3">
      <c r="A89" s="42">
        <v>44554</v>
      </c>
      <c r="B89" s="26" t="str">
        <f t="shared" si="2"/>
        <v>20211224</v>
      </c>
      <c r="C89" s="16">
        <v>24</v>
      </c>
      <c r="D89" s="16" t="s">
        <v>20</v>
      </c>
      <c r="E89" s="16">
        <v>2021</v>
      </c>
    </row>
  </sheetData>
  <phoneticPr fontId="18" type="noConversion"/>
  <conditionalFormatting sqref="A1:E89">
    <cfRule type="containsBlanks" dxfId="8" priority="2">
      <formula>LEN(TRIM(A1))=0</formula>
    </cfRule>
  </conditionalFormatting>
  <conditionalFormatting sqref="A8:E8">
    <cfRule type="duplicateValues" dxfId="7" priority="1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64A3-E5C6-41AF-B9B5-105B7F8B65AA}">
  <dimension ref="A1:F89"/>
  <sheetViews>
    <sheetView topLeftCell="A63" workbookViewId="0">
      <selection activeCell="E88" sqref="E88"/>
    </sheetView>
  </sheetViews>
  <sheetFormatPr defaultRowHeight="14.4" x14ac:dyDescent="0.3"/>
  <cols>
    <col min="1" max="2" width="15.21875" customWidth="1"/>
    <col min="3" max="3" width="16.88671875" customWidth="1"/>
    <col min="4" max="4" width="18.109375" customWidth="1"/>
    <col min="5" max="5" width="15.44140625" customWidth="1"/>
    <col min="6" max="6" width="19.6640625" customWidth="1"/>
  </cols>
  <sheetData>
    <row r="1" spans="1:6" s="8" customFormat="1" ht="97.5" customHeight="1" x14ac:dyDescent="0.3">
      <c r="A1" s="21" t="s">
        <v>5</v>
      </c>
      <c r="B1" s="21" t="s">
        <v>349</v>
      </c>
      <c r="C1" s="22" t="s">
        <v>6</v>
      </c>
      <c r="D1" s="21" t="s">
        <v>7</v>
      </c>
      <c r="E1" s="21" t="s">
        <v>8</v>
      </c>
      <c r="F1" s="21" t="s">
        <v>9</v>
      </c>
    </row>
    <row r="2" spans="1:6" x14ac:dyDescent="0.3">
      <c r="A2" s="24" t="s">
        <v>438</v>
      </c>
      <c r="B2" s="25" t="s">
        <v>350</v>
      </c>
      <c r="C2" s="25" t="s">
        <v>21</v>
      </c>
      <c r="D2" s="25" t="s">
        <v>168</v>
      </c>
      <c r="E2" s="25" t="s">
        <v>23</v>
      </c>
      <c r="F2" s="25" t="s">
        <v>24</v>
      </c>
    </row>
    <row r="3" spans="1:6" x14ac:dyDescent="0.3">
      <c r="A3" s="23">
        <v>44</v>
      </c>
      <c r="B3" s="23" t="s">
        <v>351</v>
      </c>
      <c r="C3" s="23" t="s">
        <v>21</v>
      </c>
      <c r="D3" s="23" t="s">
        <v>169</v>
      </c>
      <c r="E3" s="23" t="s">
        <v>29</v>
      </c>
      <c r="F3" s="23" t="s">
        <v>30</v>
      </c>
    </row>
    <row r="4" spans="1:6" x14ac:dyDescent="0.3">
      <c r="A4" s="18">
        <v>37</v>
      </c>
      <c r="B4" s="18" t="s">
        <v>352</v>
      </c>
      <c r="C4" s="18" t="s">
        <v>21</v>
      </c>
      <c r="D4" s="18" t="s">
        <v>169</v>
      </c>
      <c r="E4" s="18" t="s">
        <v>23</v>
      </c>
      <c r="F4" s="18" t="s">
        <v>24</v>
      </c>
    </row>
    <row r="5" spans="1:6" x14ac:dyDescent="0.3">
      <c r="A5" s="23">
        <v>31</v>
      </c>
      <c r="B5" s="23" t="s">
        <v>353</v>
      </c>
      <c r="C5" s="23" t="s">
        <v>36</v>
      </c>
      <c r="D5" s="23" t="s">
        <v>168</v>
      </c>
      <c r="E5" s="23" t="s">
        <v>37</v>
      </c>
      <c r="F5" s="23" t="s">
        <v>38</v>
      </c>
    </row>
    <row r="6" spans="1:6" x14ac:dyDescent="0.3">
      <c r="A6" s="18">
        <v>37</v>
      </c>
      <c r="B6" s="18" t="s">
        <v>354</v>
      </c>
      <c r="C6" s="18" t="s">
        <v>21</v>
      </c>
      <c r="D6" s="18" t="s">
        <v>168</v>
      </c>
      <c r="E6" s="18" t="s">
        <v>23</v>
      </c>
      <c r="F6" s="18" t="s">
        <v>24</v>
      </c>
    </row>
    <row r="7" spans="1:6" x14ac:dyDescent="0.3">
      <c r="A7" s="23">
        <v>24</v>
      </c>
      <c r="B7" s="23" t="s">
        <v>355</v>
      </c>
      <c r="C7" s="23" t="s">
        <v>43</v>
      </c>
      <c r="D7" s="23" t="s">
        <v>168</v>
      </c>
      <c r="E7" s="23" t="s">
        <v>29</v>
      </c>
      <c r="F7" s="23" t="s">
        <v>30</v>
      </c>
    </row>
    <row r="8" spans="1:6" x14ac:dyDescent="0.3">
      <c r="A8" s="18">
        <v>37</v>
      </c>
      <c r="B8" s="18" t="s">
        <v>356</v>
      </c>
      <c r="C8" s="18" t="s">
        <v>21</v>
      </c>
      <c r="D8" s="18" t="s">
        <v>169</v>
      </c>
      <c r="E8" s="18" t="s">
        <v>23</v>
      </c>
      <c r="F8" s="18" t="s">
        <v>47</v>
      </c>
    </row>
    <row r="9" spans="1:6" s="4" customFormat="1" x14ac:dyDescent="0.3">
      <c r="A9" s="23">
        <v>31</v>
      </c>
      <c r="B9" s="23" t="s">
        <v>357</v>
      </c>
      <c r="C9" s="23" t="s">
        <v>36</v>
      </c>
      <c r="D9" s="23" t="s">
        <v>168</v>
      </c>
      <c r="E9" s="23" t="s">
        <v>37</v>
      </c>
      <c r="F9" s="23" t="s">
        <v>38</v>
      </c>
    </row>
    <row r="10" spans="1:6" x14ac:dyDescent="0.3">
      <c r="A10" s="18">
        <v>39</v>
      </c>
      <c r="B10" s="18" t="s">
        <v>358</v>
      </c>
      <c r="C10" s="18" t="s">
        <v>21</v>
      </c>
      <c r="D10" s="18" t="s">
        <v>168</v>
      </c>
      <c r="E10" s="18" t="s">
        <v>23</v>
      </c>
      <c r="F10" s="18" t="s">
        <v>24</v>
      </c>
    </row>
    <row r="11" spans="1:6" x14ac:dyDescent="0.3">
      <c r="A11" s="23">
        <v>42</v>
      </c>
      <c r="B11" s="23" t="s">
        <v>359</v>
      </c>
      <c r="C11" s="23" t="s">
        <v>21</v>
      </c>
      <c r="D11" s="23" t="s">
        <v>169</v>
      </c>
      <c r="E11" s="23" t="s">
        <v>51</v>
      </c>
      <c r="F11" s="23" t="s">
        <v>52</v>
      </c>
    </row>
    <row r="12" spans="1:6" x14ac:dyDescent="0.3">
      <c r="A12" s="18">
        <v>35</v>
      </c>
      <c r="B12" s="18" t="s">
        <v>360</v>
      </c>
      <c r="C12" s="18" t="s">
        <v>21</v>
      </c>
      <c r="D12" s="18" t="s">
        <v>168</v>
      </c>
      <c r="E12" s="18" t="s">
        <v>37</v>
      </c>
      <c r="F12" s="18" t="s">
        <v>54</v>
      </c>
    </row>
    <row r="13" spans="1:6" x14ac:dyDescent="0.3">
      <c r="A13" s="23">
        <v>37</v>
      </c>
      <c r="B13" s="23" t="s">
        <v>361</v>
      </c>
      <c r="C13" s="23" t="s">
        <v>21</v>
      </c>
      <c r="D13" s="23" t="s">
        <v>168</v>
      </c>
      <c r="E13" s="23" t="s">
        <v>23</v>
      </c>
      <c r="F13" s="23" t="s">
        <v>24</v>
      </c>
    </row>
    <row r="14" spans="1:6" x14ac:dyDescent="0.3">
      <c r="A14" s="18">
        <v>23</v>
      </c>
      <c r="B14" s="18" t="s">
        <v>362</v>
      </c>
      <c r="C14" s="18" t="s">
        <v>43</v>
      </c>
      <c r="D14" s="18" t="s">
        <v>169</v>
      </c>
      <c r="E14" s="18" t="s">
        <v>29</v>
      </c>
      <c r="F14" s="18" t="s">
        <v>30</v>
      </c>
    </row>
    <row r="15" spans="1:6" x14ac:dyDescent="0.3">
      <c r="A15" s="23">
        <v>27</v>
      </c>
      <c r="B15" s="23" t="s">
        <v>363</v>
      </c>
      <c r="C15" s="23" t="s">
        <v>36</v>
      </c>
      <c r="D15" s="23" t="s">
        <v>169</v>
      </c>
      <c r="E15" s="23" t="s">
        <v>59</v>
      </c>
      <c r="F15" s="23" t="s">
        <v>60</v>
      </c>
    </row>
    <row r="16" spans="1:6" x14ac:dyDescent="0.3">
      <c r="A16" s="18">
        <v>36</v>
      </c>
      <c r="B16" s="18" t="s">
        <v>364</v>
      </c>
      <c r="C16" s="18" t="s">
        <v>43</v>
      </c>
      <c r="D16" s="18" t="s">
        <v>169</v>
      </c>
      <c r="E16" s="18" t="s">
        <v>37</v>
      </c>
      <c r="F16" s="18" t="s">
        <v>38</v>
      </c>
    </row>
    <row r="17" spans="1:6" x14ac:dyDescent="0.3">
      <c r="A17" s="23">
        <v>47</v>
      </c>
      <c r="B17" s="23" t="s">
        <v>365</v>
      </c>
      <c r="C17" s="23" t="s">
        <v>21</v>
      </c>
      <c r="D17" s="23" t="s">
        <v>169</v>
      </c>
      <c r="E17" s="23" t="s">
        <v>29</v>
      </c>
      <c r="F17" s="23" t="s">
        <v>30</v>
      </c>
    </row>
    <row r="18" spans="1:6" x14ac:dyDescent="0.3">
      <c r="A18" s="18">
        <v>30</v>
      </c>
      <c r="B18" s="18" t="s">
        <v>366</v>
      </c>
      <c r="C18" s="18" t="s">
        <v>36</v>
      </c>
      <c r="D18" s="18" t="s">
        <v>169</v>
      </c>
      <c r="E18" s="18" t="s">
        <v>23</v>
      </c>
      <c r="F18" s="18" t="s">
        <v>24</v>
      </c>
    </row>
    <row r="19" spans="1:6" x14ac:dyDescent="0.3">
      <c r="A19" s="23">
        <v>38</v>
      </c>
      <c r="B19" s="23" t="s">
        <v>367</v>
      </c>
      <c r="C19" s="23" t="s">
        <v>21</v>
      </c>
      <c r="D19" s="23" t="s">
        <v>169</v>
      </c>
      <c r="E19" s="23" t="s">
        <v>23</v>
      </c>
      <c r="F19" s="23" t="s">
        <v>24</v>
      </c>
    </row>
    <row r="20" spans="1:6" x14ac:dyDescent="0.3">
      <c r="A20" s="18">
        <v>19</v>
      </c>
      <c r="B20" s="18" t="s">
        <v>368</v>
      </c>
      <c r="C20" s="18" t="s">
        <v>43</v>
      </c>
      <c r="D20" s="18" t="s">
        <v>168</v>
      </c>
      <c r="E20" s="18" t="s">
        <v>37</v>
      </c>
      <c r="F20" s="18" t="s">
        <v>38</v>
      </c>
    </row>
    <row r="21" spans="1:6" x14ac:dyDescent="0.3">
      <c r="A21" s="23">
        <v>30</v>
      </c>
      <c r="B21" s="23" t="s">
        <v>369</v>
      </c>
      <c r="C21" s="23" t="s">
        <v>36</v>
      </c>
      <c r="D21" s="23" t="s">
        <v>168</v>
      </c>
      <c r="E21" s="23" t="s">
        <v>59</v>
      </c>
      <c r="F21" s="23" t="s">
        <v>60</v>
      </c>
    </row>
    <row r="22" spans="1:6" x14ac:dyDescent="0.3">
      <c r="A22" s="18">
        <v>39</v>
      </c>
      <c r="B22" s="18" t="s">
        <v>370</v>
      </c>
      <c r="C22" s="18" t="s">
        <v>21</v>
      </c>
      <c r="D22" s="18" t="s">
        <v>168</v>
      </c>
      <c r="E22" s="18" t="s">
        <v>23</v>
      </c>
      <c r="F22" s="18" t="s">
        <v>72</v>
      </c>
    </row>
    <row r="23" spans="1:6" x14ac:dyDescent="0.3">
      <c r="A23" s="23">
        <v>35</v>
      </c>
      <c r="B23" s="23" t="s">
        <v>371</v>
      </c>
      <c r="C23" s="23" t="s">
        <v>21</v>
      </c>
      <c r="D23" s="23" t="s">
        <v>168</v>
      </c>
      <c r="E23" s="23" t="s">
        <v>23</v>
      </c>
      <c r="F23" s="23" t="s">
        <v>24</v>
      </c>
    </row>
    <row r="24" spans="1:6" x14ac:dyDescent="0.3">
      <c r="A24" s="18">
        <v>33</v>
      </c>
      <c r="B24" s="18" t="s">
        <v>372</v>
      </c>
      <c r="C24" s="18" t="s">
        <v>36</v>
      </c>
      <c r="D24" s="18" t="s">
        <v>168</v>
      </c>
      <c r="E24" s="18" t="s">
        <v>37</v>
      </c>
      <c r="F24" s="18" t="s">
        <v>76</v>
      </c>
    </row>
    <row r="25" spans="1:6" x14ac:dyDescent="0.3">
      <c r="A25" s="23">
        <v>41</v>
      </c>
      <c r="B25" s="23" t="s">
        <v>373</v>
      </c>
      <c r="C25" s="23" t="s">
        <v>21</v>
      </c>
      <c r="D25" s="23" t="s">
        <v>168</v>
      </c>
      <c r="E25" s="23" t="s">
        <v>51</v>
      </c>
      <c r="F25" s="23" t="s">
        <v>79</v>
      </c>
    </row>
    <row r="26" spans="1:6" x14ac:dyDescent="0.3">
      <c r="A26" s="18">
        <v>34</v>
      </c>
      <c r="B26" s="18" t="s">
        <v>374</v>
      </c>
      <c r="C26" s="18" t="s">
        <v>36</v>
      </c>
      <c r="D26" s="18" t="s">
        <v>168</v>
      </c>
      <c r="E26" s="18" t="s">
        <v>23</v>
      </c>
      <c r="F26" s="18" t="s">
        <v>24</v>
      </c>
    </row>
    <row r="27" spans="1:6" x14ac:dyDescent="0.3">
      <c r="A27" s="23">
        <v>40</v>
      </c>
      <c r="B27" s="23" t="s">
        <v>375</v>
      </c>
      <c r="C27" s="23" t="s">
        <v>21</v>
      </c>
      <c r="D27" s="23" t="s">
        <v>169</v>
      </c>
      <c r="E27" s="23" t="s">
        <v>37</v>
      </c>
      <c r="F27" s="23" t="s">
        <v>38</v>
      </c>
    </row>
    <row r="28" spans="1:6" x14ac:dyDescent="0.3">
      <c r="A28" s="18">
        <v>26</v>
      </c>
      <c r="B28" s="18" t="s">
        <v>376</v>
      </c>
      <c r="C28" s="18" t="s">
        <v>36</v>
      </c>
      <c r="D28" s="18" t="s">
        <v>169</v>
      </c>
      <c r="E28" s="18" t="s">
        <v>29</v>
      </c>
      <c r="F28" s="18" t="s">
        <v>30</v>
      </c>
    </row>
    <row r="29" spans="1:6" x14ac:dyDescent="0.3">
      <c r="A29" s="23">
        <v>34</v>
      </c>
      <c r="B29" s="23" t="s">
        <v>377</v>
      </c>
      <c r="C29" s="23" t="s">
        <v>36</v>
      </c>
      <c r="D29" s="23" t="s">
        <v>169</v>
      </c>
      <c r="E29" s="23" t="s">
        <v>23</v>
      </c>
      <c r="F29" s="23" t="s">
        <v>24</v>
      </c>
    </row>
    <row r="30" spans="1:6" x14ac:dyDescent="0.3">
      <c r="A30" s="18">
        <v>34</v>
      </c>
      <c r="B30" s="18" t="s">
        <v>378</v>
      </c>
      <c r="C30" s="18" t="s">
        <v>36</v>
      </c>
      <c r="D30" s="18" t="s">
        <v>168</v>
      </c>
      <c r="E30" s="18" t="s">
        <v>23</v>
      </c>
      <c r="F30" s="18" t="s">
        <v>47</v>
      </c>
    </row>
    <row r="31" spans="1:6" x14ac:dyDescent="0.3">
      <c r="A31" s="23">
        <v>38</v>
      </c>
      <c r="B31" s="23" t="s">
        <v>379</v>
      </c>
      <c r="C31" s="23" t="s">
        <v>21</v>
      </c>
      <c r="D31" s="23" t="s">
        <v>169</v>
      </c>
      <c r="E31" s="23" t="s">
        <v>37</v>
      </c>
      <c r="F31" s="23" t="s">
        <v>38</v>
      </c>
    </row>
    <row r="32" spans="1:6" x14ac:dyDescent="0.3">
      <c r="A32" s="18">
        <v>24</v>
      </c>
      <c r="B32" s="18" t="s">
        <v>380</v>
      </c>
      <c r="C32" s="18" t="s">
        <v>43</v>
      </c>
      <c r="D32" s="18" t="s">
        <v>168</v>
      </c>
      <c r="E32" s="18" t="s">
        <v>89</v>
      </c>
      <c r="F32" s="18" t="s">
        <v>90</v>
      </c>
    </row>
    <row r="33" spans="1:6" x14ac:dyDescent="0.3">
      <c r="A33" s="23">
        <v>41</v>
      </c>
      <c r="B33" s="23" t="s">
        <v>381</v>
      </c>
      <c r="C33" s="23" t="s">
        <v>21</v>
      </c>
      <c r="D33" s="23" t="s">
        <v>168</v>
      </c>
      <c r="E33" s="23" t="s">
        <v>37</v>
      </c>
      <c r="F33" s="23" t="s">
        <v>38</v>
      </c>
    </row>
    <row r="34" spans="1:6" x14ac:dyDescent="0.3">
      <c r="A34" s="18">
        <v>27</v>
      </c>
      <c r="B34" s="18" t="s">
        <v>382</v>
      </c>
      <c r="C34" s="18" t="s">
        <v>36</v>
      </c>
      <c r="D34" s="18" t="s">
        <v>169</v>
      </c>
      <c r="E34" s="18" t="s">
        <v>59</v>
      </c>
      <c r="F34" s="18" t="s">
        <v>60</v>
      </c>
    </row>
    <row r="35" spans="1:6" x14ac:dyDescent="0.3">
      <c r="A35" s="23">
        <v>37</v>
      </c>
      <c r="B35" s="23" t="s">
        <v>383</v>
      </c>
      <c r="C35" s="23" t="s">
        <v>21</v>
      </c>
      <c r="D35" s="23" t="s">
        <v>169</v>
      </c>
      <c r="E35" s="23" t="s">
        <v>23</v>
      </c>
      <c r="F35" s="23" t="s">
        <v>24</v>
      </c>
    </row>
    <row r="36" spans="1:6" x14ac:dyDescent="0.3">
      <c r="A36" s="18">
        <v>38</v>
      </c>
      <c r="B36" s="18" t="s">
        <v>384</v>
      </c>
      <c r="C36" s="18" t="s">
        <v>21</v>
      </c>
      <c r="D36" s="18" t="s">
        <v>168</v>
      </c>
      <c r="E36" s="18" t="s">
        <v>23</v>
      </c>
      <c r="F36" s="18" t="s">
        <v>24</v>
      </c>
    </row>
    <row r="37" spans="1:6" x14ac:dyDescent="0.3">
      <c r="A37" s="23">
        <v>36</v>
      </c>
      <c r="B37" s="23" t="s">
        <v>385</v>
      </c>
      <c r="C37" s="23" t="s">
        <v>21</v>
      </c>
      <c r="D37" s="23" t="s">
        <v>168</v>
      </c>
      <c r="E37" s="23" t="s">
        <v>37</v>
      </c>
      <c r="F37" s="23" t="s">
        <v>38</v>
      </c>
    </row>
    <row r="38" spans="1:6" x14ac:dyDescent="0.3">
      <c r="A38" s="18">
        <v>37</v>
      </c>
      <c r="B38" s="18" t="s">
        <v>386</v>
      </c>
      <c r="C38" s="18" t="s">
        <v>21</v>
      </c>
      <c r="D38" s="18" t="s">
        <v>169</v>
      </c>
      <c r="E38" s="18" t="s">
        <v>23</v>
      </c>
      <c r="F38" s="18" t="s">
        <v>24</v>
      </c>
    </row>
    <row r="39" spans="1:6" x14ac:dyDescent="0.3">
      <c r="A39" s="23">
        <v>34</v>
      </c>
      <c r="B39" s="23" t="s">
        <v>387</v>
      </c>
      <c r="C39" s="23" t="s">
        <v>36</v>
      </c>
      <c r="D39" s="23" t="s">
        <v>169</v>
      </c>
      <c r="E39" s="23" t="s">
        <v>37</v>
      </c>
      <c r="F39" s="23" t="s">
        <v>38</v>
      </c>
    </row>
    <row r="40" spans="1:6" x14ac:dyDescent="0.3">
      <c r="A40" s="18">
        <v>35</v>
      </c>
      <c r="B40" s="18" t="s">
        <v>388</v>
      </c>
      <c r="C40" s="18" t="s">
        <v>21</v>
      </c>
      <c r="D40" s="18" t="s">
        <v>168</v>
      </c>
      <c r="E40" s="18" t="s">
        <v>37</v>
      </c>
      <c r="F40" s="18" t="s">
        <v>76</v>
      </c>
    </row>
    <row r="41" spans="1:6" x14ac:dyDescent="0.3">
      <c r="A41" s="23">
        <v>38</v>
      </c>
      <c r="B41" s="23" t="s">
        <v>389</v>
      </c>
      <c r="C41" s="23" t="s">
        <v>21</v>
      </c>
      <c r="D41" s="23" t="s">
        <v>168</v>
      </c>
      <c r="E41" s="23" t="s">
        <v>23</v>
      </c>
      <c r="F41" s="23" t="s">
        <v>47</v>
      </c>
    </row>
    <row r="42" spans="1:6" x14ac:dyDescent="0.3">
      <c r="A42" s="18">
        <v>32</v>
      </c>
      <c r="B42" s="18" t="s">
        <v>390</v>
      </c>
      <c r="C42" s="18" t="s">
        <v>36</v>
      </c>
      <c r="D42" s="18" t="s">
        <v>168</v>
      </c>
      <c r="E42" s="18" t="s">
        <v>37</v>
      </c>
      <c r="F42" s="18" t="s">
        <v>54</v>
      </c>
    </row>
    <row r="43" spans="1:6" x14ac:dyDescent="0.3">
      <c r="A43" s="23">
        <v>40</v>
      </c>
      <c r="B43" s="23" t="s">
        <v>391</v>
      </c>
      <c r="C43" s="23" t="s">
        <v>21</v>
      </c>
      <c r="D43" s="23" t="s">
        <v>168</v>
      </c>
      <c r="E43" s="23" t="s">
        <v>23</v>
      </c>
      <c r="F43" s="23" t="s">
        <v>24</v>
      </c>
    </row>
    <row r="44" spans="1:6" x14ac:dyDescent="0.3">
      <c r="A44" s="18">
        <v>44</v>
      </c>
      <c r="B44" s="18" t="s">
        <v>392</v>
      </c>
      <c r="C44" s="18" t="s">
        <v>21</v>
      </c>
      <c r="D44" s="18" t="s">
        <v>168</v>
      </c>
      <c r="E44" s="18" t="s">
        <v>29</v>
      </c>
      <c r="F44" s="18" t="s">
        <v>30</v>
      </c>
    </row>
    <row r="45" spans="1:6" x14ac:dyDescent="0.3">
      <c r="A45" s="23">
        <v>49</v>
      </c>
      <c r="B45" s="23" t="s">
        <v>393</v>
      </c>
      <c r="C45" s="23" t="s">
        <v>21</v>
      </c>
      <c r="D45" s="23" t="s">
        <v>169</v>
      </c>
      <c r="E45" s="23" t="s">
        <v>29</v>
      </c>
      <c r="F45" s="23" t="s">
        <v>30</v>
      </c>
    </row>
    <row r="46" spans="1:6" x14ac:dyDescent="0.3">
      <c r="A46" s="18">
        <v>30</v>
      </c>
      <c r="B46" s="18" t="s">
        <v>394</v>
      </c>
      <c r="C46" s="18" t="s">
        <v>36</v>
      </c>
      <c r="D46" s="18" t="s">
        <v>168</v>
      </c>
      <c r="E46" s="18" t="s">
        <v>23</v>
      </c>
      <c r="F46" s="18" t="s">
        <v>47</v>
      </c>
    </row>
    <row r="47" spans="1:6" x14ac:dyDescent="0.3">
      <c r="A47" s="23">
        <v>32</v>
      </c>
      <c r="B47" s="23" t="s">
        <v>395</v>
      </c>
      <c r="C47" s="23" t="s">
        <v>36</v>
      </c>
      <c r="D47" s="23" t="s">
        <v>169</v>
      </c>
      <c r="E47" s="23" t="s">
        <v>23</v>
      </c>
      <c r="F47" s="23" t="s">
        <v>24</v>
      </c>
    </row>
    <row r="48" spans="1:6" x14ac:dyDescent="0.3">
      <c r="A48" s="18">
        <v>32</v>
      </c>
      <c r="B48" s="18" t="s">
        <v>396</v>
      </c>
      <c r="C48" s="18" t="s">
        <v>36</v>
      </c>
      <c r="D48" s="18" t="s">
        <v>168</v>
      </c>
      <c r="E48" s="18" t="s">
        <v>37</v>
      </c>
      <c r="F48" s="18" t="s">
        <v>76</v>
      </c>
    </row>
    <row r="49" spans="1:6" x14ac:dyDescent="0.3">
      <c r="A49" s="23">
        <v>29</v>
      </c>
      <c r="B49" s="23" t="s">
        <v>397</v>
      </c>
      <c r="C49" s="23" t="s">
        <v>36</v>
      </c>
      <c r="D49" s="23" t="s">
        <v>168</v>
      </c>
      <c r="E49" s="23" t="s">
        <v>23</v>
      </c>
      <c r="F49" s="23" t="s">
        <v>24</v>
      </c>
    </row>
    <row r="50" spans="1:6" x14ac:dyDescent="0.3">
      <c r="A50" s="18">
        <v>33</v>
      </c>
      <c r="B50" s="18" t="s">
        <v>398</v>
      </c>
      <c r="C50" s="18" t="s">
        <v>36</v>
      </c>
      <c r="D50" s="18" t="s">
        <v>168</v>
      </c>
      <c r="E50" s="18" t="s">
        <v>37</v>
      </c>
      <c r="F50" s="18" t="s">
        <v>38</v>
      </c>
    </row>
    <row r="51" spans="1:6" x14ac:dyDescent="0.3">
      <c r="A51" s="23">
        <v>38</v>
      </c>
      <c r="B51" s="23" t="s">
        <v>399</v>
      </c>
      <c r="C51" s="23" t="s">
        <v>21</v>
      </c>
      <c r="D51" s="23" t="s">
        <v>169</v>
      </c>
      <c r="E51" s="23" t="s">
        <v>37</v>
      </c>
      <c r="F51" s="23" t="s">
        <v>38</v>
      </c>
    </row>
    <row r="52" spans="1:6" x14ac:dyDescent="0.3">
      <c r="A52" s="18">
        <v>27</v>
      </c>
      <c r="B52" s="18" t="s">
        <v>400</v>
      </c>
      <c r="C52" s="18" t="s">
        <v>36</v>
      </c>
      <c r="D52" s="18" t="s">
        <v>168</v>
      </c>
      <c r="E52" s="18" t="s">
        <v>89</v>
      </c>
      <c r="F52" s="18" t="s">
        <v>112</v>
      </c>
    </row>
    <row r="53" spans="1:6" x14ac:dyDescent="0.3">
      <c r="A53" s="23">
        <v>37</v>
      </c>
      <c r="B53" s="23" t="s">
        <v>401</v>
      </c>
      <c r="C53" s="23" t="s">
        <v>21</v>
      </c>
      <c r="D53" s="23" t="s">
        <v>168</v>
      </c>
      <c r="E53" s="23" t="s">
        <v>23</v>
      </c>
      <c r="F53" s="23" t="s">
        <v>47</v>
      </c>
    </row>
    <row r="54" spans="1:6" x14ac:dyDescent="0.3">
      <c r="A54" s="18">
        <v>31</v>
      </c>
      <c r="B54" s="18" t="s">
        <v>402</v>
      </c>
      <c r="C54" s="18" t="s">
        <v>36</v>
      </c>
      <c r="D54" s="18" t="s">
        <v>169</v>
      </c>
      <c r="E54" s="18" t="s">
        <v>37</v>
      </c>
      <c r="F54" s="18" t="s">
        <v>38</v>
      </c>
    </row>
    <row r="55" spans="1:6" x14ac:dyDescent="0.3">
      <c r="A55" s="23">
        <v>42</v>
      </c>
      <c r="B55" s="23" t="s">
        <v>403</v>
      </c>
      <c r="C55" s="23" t="s">
        <v>21</v>
      </c>
      <c r="D55" s="23" t="s">
        <v>168</v>
      </c>
      <c r="E55" s="23" t="s">
        <v>51</v>
      </c>
      <c r="F55" s="23" t="s">
        <v>52</v>
      </c>
    </row>
    <row r="56" spans="1:6" x14ac:dyDescent="0.3">
      <c r="A56" s="18">
        <v>35</v>
      </c>
      <c r="B56" s="18" t="s">
        <v>404</v>
      </c>
      <c r="C56" s="18" t="s">
        <v>21</v>
      </c>
      <c r="D56" s="18" t="s">
        <v>168</v>
      </c>
      <c r="E56" s="18" t="s">
        <v>37</v>
      </c>
      <c r="F56" s="18" t="s">
        <v>38</v>
      </c>
    </row>
    <row r="57" spans="1:6" x14ac:dyDescent="0.3">
      <c r="A57" s="23">
        <v>38</v>
      </c>
      <c r="B57" s="23" t="s">
        <v>405</v>
      </c>
      <c r="C57" s="23" t="s">
        <v>21</v>
      </c>
      <c r="D57" s="23" t="s">
        <v>168</v>
      </c>
      <c r="E57" s="23" t="s">
        <v>51</v>
      </c>
      <c r="F57" s="23" t="s">
        <v>52</v>
      </c>
    </row>
    <row r="58" spans="1:6" x14ac:dyDescent="0.3">
      <c r="A58" s="18">
        <v>24</v>
      </c>
      <c r="B58" s="18" t="s">
        <v>406</v>
      </c>
      <c r="C58" s="18" t="s">
        <v>43</v>
      </c>
      <c r="D58" s="18" t="s">
        <v>168</v>
      </c>
      <c r="E58" s="18" t="s">
        <v>89</v>
      </c>
      <c r="F58" s="18" t="s">
        <v>120</v>
      </c>
    </row>
    <row r="59" spans="1:6" x14ac:dyDescent="0.3">
      <c r="A59" s="23">
        <v>26</v>
      </c>
      <c r="B59" s="23" t="s">
        <v>407</v>
      </c>
      <c r="C59" s="23" t="s">
        <v>36</v>
      </c>
      <c r="D59" s="23" t="s">
        <v>168</v>
      </c>
      <c r="E59" s="23" t="s">
        <v>29</v>
      </c>
      <c r="F59" s="23" t="s">
        <v>30</v>
      </c>
    </row>
    <row r="60" spans="1:6" x14ac:dyDescent="0.3">
      <c r="A60" s="18">
        <v>39</v>
      </c>
      <c r="B60" s="18" t="s">
        <v>408</v>
      </c>
      <c r="C60" s="18" t="s">
        <v>21</v>
      </c>
      <c r="D60" s="18" t="s">
        <v>169</v>
      </c>
      <c r="E60" s="18" t="s">
        <v>23</v>
      </c>
      <c r="F60" s="18" t="s">
        <v>24</v>
      </c>
    </row>
    <row r="61" spans="1:6" x14ac:dyDescent="0.3">
      <c r="A61" s="23">
        <v>26</v>
      </c>
      <c r="B61" s="23" t="s">
        <v>409</v>
      </c>
      <c r="C61" s="23" t="s">
        <v>36</v>
      </c>
      <c r="D61" s="23" t="s">
        <v>169</v>
      </c>
      <c r="E61" s="23" t="s">
        <v>89</v>
      </c>
      <c r="F61" s="23" t="s">
        <v>90</v>
      </c>
    </row>
    <row r="62" spans="1:6" x14ac:dyDescent="0.3">
      <c r="A62" s="18">
        <v>36</v>
      </c>
      <c r="B62" s="18" t="s">
        <v>410</v>
      </c>
      <c r="C62" s="18" t="s">
        <v>21</v>
      </c>
      <c r="D62" s="18" t="s">
        <v>169</v>
      </c>
      <c r="E62" s="18" t="s">
        <v>23</v>
      </c>
      <c r="F62" s="18" t="s">
        <v>47</v>
      </c>
    </row>
    <row r="63" spans="1:6" x14ac:dyDescent="0.3">
      <c r="A63" s="23">
        <v>17</v>
      </c>
      <c r="B63" s="23" t="s">
        <v>411</v>
      </c>
      <c r="C63" s="23" t="s">
        <v>43</v>
      </c>
      <c r="D63" s="23" t="s">
        <v>169</v>
      </c>
      <c r="E63" s="23" t="s">
        <v>89</v>
      </c>
      <c r="F63" s="23" t="s">
        <v>126</v>
      </c>
    </row>
    <row r="64" spans="1:6" x14ac:dyDescent="0.3">
      <c r="A64" s="18">
        <v>19</v>
      </c>
      <c r="B64" s="18" t="s">
        <v>412</v>
      </c>
      <c r="C64" s="18" t="s">
        <v>43</v>
      </c>
      <c r="D64" s="18" t="s">
        <v>168</v>
      </c>
      <c r="E64" s="18" t="s">
        <v>37</v>
      </c>
      <c r="F64" s="18" t="s">
        <v>76</v>
      </c>
    </row>
    <row r="65" spans="1:6" x14ac:dyDescent="0.3">
      <c r="A65" s="23">
        <v>25</v>
      </c>
      <c r="B65" s="23" t="s">
        <v>413</v>
      </c>
      <c r="C65" s="23" t="s">
        <v>36</v>
      </c>
      <c r="D65" s="23" t="s">
        <v>169</v>
      </c>
      <c r="E65" s="23" t="s">
        <v>89</v>
      </c>
      <c r="F65" s="23" t="s">
        <v>90</v>
      </c>
    </row>
    <row r="66" spans="1:6" x14ac:dyDescent="0.3">
      <c r="A66" s="18">
        <v>35</v>
      </c>
      <c r="B66" s="18" t="s">
        <v>414</v>
      </c>
      <c r="C66" s="18" t="s">
        <v>21</v>
      </c>
      <c r="D66" s="18" t="s">
        <v>168</v>
      </c>
      <c r="E66" s="18" t="s">
        <v>23</v>
      </c>
      <c r="F66" s="18" t="s">
        <v>72</v>
      </c>
    </row>
    <row r="67" spans="1:6" x14ac:dyDescent="0.3">
      <c r="A67" s="23">
        <v>37</v>
      </c>
      <c r="B67" s="23" t="s">
        <v>415</v>
      </c>
      <c r="C67" s="23" t="s">
        <v>21</v>
      </c>
      <c r="D67" s="23" t="s">
        <v>169</v>
      </c>
      <c r="E67" s="23" t="s">
        <v>23</v>
      </c>
      <c r="F67" s="23" t="s">
        <v>72</v>
      </c>
    </row>
    <row r="68" spans="1:6" x14ac:dyDescent="0.3">
      <c r="A68" s="18">
        <v>39</v>
      </c>
      <c r="B68" s="18" t="s">
        <v>416</v>
      </c>
      <c r="C68" s="18" t="s">
        <v>21</v>
      </c>
      <c r="D68" s="18" t="s">
        <v>168</v>
      </c>
      <c r="E68" s="18" t="s">
        <v>23</v>
      </c>
      <c r="F68" s="18" t="s">
        <v>24</v>
      </c>
    </row>
    <row r="69" spans="1:6" x14ac:dyDescent="0.3">
      <c r="A69" s="23">
        <v>63</v>
      </c>
      <c r="B69" s="23" t="s">
        <v>417</v>
      </c>
      <c r="C69" s="23" t="s">
        <v>21</v>
      </c>
      <c r="D69" s="23" t="s">
        <v>168</v>
      </c>
      <c r="E69" s="23" t="s">
        <v>37</v>
      </c>
      <c r="F69" s="23" t="s">
        <v>54</v>
      </c>
    </row>
    <row r="70" spans="1:6" x14ac:dyDescent="0.3">
      <c r="A70" s="18">
        <v>18</v>
      </c>
      <c r="B70" s="18" t="s">
        <v>418</v>
      </c>
      <c r="C70" s="18" t="s">
        <v>43</v>
      </c>
      <c r="D70" s="18" t="s">
        <v>169</v>
      </c>
      <c r="E70" s="18" t="s">
        <v>37</v>
      </c>
      <c r="F70" s="18" t="s">
        <v>136</v>
      </c>
    </row>
    <row r="71" spans="1:6" x14ac:dyDescent="0.3">
      <c r="A71" s="23">
        <v>56</v>
      </c>
      <c r="B71" s="23" t="s">
        <v>419</v>
      </c>
      <c r="C71" s="23" t="s">
        <v>21</v>
      </c>
      <c r="D71" s="23" t="s">
        <v>168</v>
      </c>
      <c r="E71" s="23" t="s">
        <v>51</v>
      </c>
      <c r="F71" s="23" t="s">
        <v>138</v>
      </c>
    </row>
    <row r="72" spans="1:6" x14ac:dyDescent="0.3">
      <c r="A72" s="18">
        <v>39</v>
      </c>
      <c r="B72" s="18" t="s">
        <v>420</v>
      </c>
      <c r="C72" s="18" t="s">
        <v>21</v>
      </c>
      <c r="D72" s="18" t="s">
        <v>168</v>
      </c>
      <c r="E72" s="18" t="s">
        <v>23</v>
      </c>
      <c r="F72" s="18" t="s">
        <v>47</v>
      </c>
    </row>
    <row r="73" spans="1:6" x14ac:dyDescent="0.3">
      <c r="A73" s="23">
        <v>33</v>
      </c>
      <c r="B73" s="23" t="s">
        <v>421</v>
      </c>
      <c r="C73" s="23" t="s">
        <v>36</v>
      </c>
      <c r="D73" s="23" t="s">
        <v>168</v>
      </c>
      <c r="E73" s="23" t="s">
        <v>37</v>
      </c>
      <c r="F73" s="23" t="s">
        <v>76</v>
      </c>
    </row>
    <row r="74" spans="1:6" x14ac:dyDescent="0.3">
      <c r="A74" s="18">
        <v>57</v>
      </c>
      <c r="B74" s="18" t="s">
        <v>422</v>
      </c>
      <c r="C74" s="18" t="s">
        <v>21</v>
      </c>
      <c r="D74" s="18" t="s">
        <v>169</v>
      </c>
      <c r="E74" s="18" t="s">
        <v>37</v>
      </c>
      <c r="F74" s="18" t="s">
        <v>54</v>
      </c>
    </row>
    <row r="75" spans="1:6" x14ac:dyDescent="0.3">
      <c r="A75" s="23">
        <v>29</v>
      </c>
      <c r="B75" s="23" t="s">
        <v>423</v>
      </c>
      <c r="C75" s="23" t="s">
        <v>36</v>
      </c>
      <c r="D75" s="23" t="s">
        <v>169</v>
      </c>
      <c r="E75" s="23" t="s">
        <v>59</v>
      </c>
      <c r="F75" s="23" t="s">
        <v>60</v>
      </c>
    </row>
    <row r="76" spans="1:6" x14ac:dyDescent="0.3">
      <c r="A76" s="18">
        <v>35</v>
      </c>
      <c r="B76" s="18" t="s">
        <v>424</v>
      </c>
      <c r="C76" s="18" t="s">
        <v>21</v>
      </c>
      <c r="D76" s="18" t="s">
        <v>168</v>
      </c>
      <c r="E76" s="18" t="s">
        <v>37</v>
      </c>
      <c r="F76" s="18" t="s">
        <v>54</v>
      </c>
    </row>
    <row r="77" spans="1:6" x14ac:dyDescent="0.3">
      <c r="A77" s="23">
        <v>35</v>
      </c>
      <c r="B77" s="23" t="s">
        <v>425</v>
      </c>
      <c r="C77" s="23" t="s">
        <v>21</v>
      </c>
      <c r="D77" s="23" t="s">
        <v>169</v>
      </c>
      <c r="E77" s="23" t="s">
        <v>37</v>
      </c>
      <c r="F77" s="23" t="s">
        <v>76</v>
      </c>
    </row>
    <row r="78" spans="1:6" x14ac:dyDescent="0.3">
      <c r="A78" s="18">
        <v>26</v>
      </c>
      <c r="B78" s="18" t="s">
        <v>426</v>
      </c>
      <c r="C78" s="18" t="s">
        <v>36</v>
      </c>
      <c r="D78" s="18" t="s">
        <v>169</v>
      </c>
      <c r="E78" s="18" t="s">
        <v>89</v>
      </c>
      <c r="F78" s="18" t="s">
        <v>147</v>
      </c>
    </row>
    <row r="79" spans="1:6" x14ac:dyDescent="0.3">
      <c r="A79" s="23">
        <v>23</v>
      </c>
      <c r="B79" s="23" t="s">
        <v>427</v>
      </c>
      <c r="C79" s="23" t="s">
        <v>43</v>
      </c>
      <c r="D79" s="23" t="s">
        <v>169</v>
      </c>
      <c r="E79" s="23" t="s">
        <v>29</v>
      </c>
      <c r="F79" s="23" t="s">
        <v>30</v>
      </c>
    </row>
    <row r="80" spans="1:6" x14ac:dyDescent="0.3">
      <c r="A80" s="18">
        <v>30</v>
      </c>
      <c r="B80" s="18" t="s">
        <v>428</v>
      </c>
      <c r="C80" s="18" t="s">
        <v>36</v>
      </c>
      <c r="D80" s="18" t="s">
        <v>168</v>
      </c>
      <c r="E80" s="18" t="s">
        <v>23</v>
      </c>
      <c r="F80" s="18" t="s">
        <v>47</v>
      </c>
    </row>
    <row r="81" spans="1:6" x14ac:dyDescent="0.3">
      <c r="A81" s="23">
        <v>41</v>
      </c>
      <c r="B81" s="23" t="s">
        <v>429</v>
      </c>
      <c r="C81" s="23" t="s">
        <v>21</v>
      </c>
      <c r="D81" s="23" t="s">
        <v>169</v>
      </c>
      <c r="E81" s="23" t="s">
        <v>23</v>
      </c>
      <c r="F81" s="23" t="s">
        <v>24</v>
      </c>
    </row>
    <row r="82" spans="1:6" x14ac:dyDescent="0.3">
      <c r="A82" s="18">
        <v>19</v>
      </c>
      <c r="B82" s="18" t="s">
        <v>430</v>
      </c>
      <c r="C82" s="18" t="s">
        <v>43</v>
      </c>
      <c r="D82" s="18" t="s">
        <v>168</v>
      </c>
      <c r="E82" s="18" t="s">
        <v>37</v>
      </c>
      <c r="F82" s="18" t="s">
        <v>38</v>
      </c>
    </row>
    <row r="83" spans="1:6" x14ac:dyDescent="0.3">
      <c r="A83" s="23">
        <v>25</v>
      </c>
      <c r="B83" s="23" t="s">
        <v>431</v>
      </c>
      <c r="C83" s="23" t="s">
        <v>36</v>
      </c>
      <c r="D83" s="23" t="s">
        <v>169</v>
      </c>
      <c r="E83" s="23" t="s">
        <v>89</v>
      </c>
      <c r="F83" s="23" t="s">
        <v>90</v>
      </c>
    </row>
    <row r="84" spans="1:6" x14ac:dyDescent="0.3">
      <c r="A84" s="18">
        <v>27</v>
      </c>
      <c r="B84" s="18" t="s">
        <v>432</v>
      </c>
      <c r="C84" s="18" t="s">
        <v>36</v>
      </c>
      <c r="D84" s="18" t="s">
        <v>168</v>
      </c>
      <c r="E84" s="18" t="s">
        <v>59</v>
      </c>
      <c r="F84" s="18" t="s">
        <v>60</v>
      </c>
    </row>
    <row r="85" spans="1:6" x14ac:dyDescent="0.3">
      <c r="A85" s="23">
        <v>41</v>
      </c>
      <c r="B85" s="23" t="s">
        <v>433</v>
      </c>
      <c r="C85" s="23" t="s">
        <v>21</v>
      </c>
      <c r="D85" s="23" t="s">
        <v>169</v>
      </c>
      <c r="E85" s="23" t="s">
        <v>51</v>
      </c>
      <c r="F85" s="23" t="s">
        <v>138</v>
      </c>
    </row>
    <row r="86" spans="1:6" x14ac:dyDescent="0.3">
      <c r="A86" s="18">
        <v>30</v>
      </c>
      <c r="B86" s="18" t="s">
        <v>434</v>
      </c>
      <c r="C86" s="18" t="s">
        <v>36</v>
      </c>
      <c r="D86" s="18" t="s">
        <v>168</v>
      </c>
      <c r="E86" s="18" t="s">
        <v>23</v>
      </c>
      <c r="F86" s="18" t="s">
        <v>72</v>
      </c>
    </row>
    <row r="87" spans="1:6" x14ac:dyDescent="0.3">
      <c r="A87" s="23">
        <v>31</v>
      </c>
      <c r="B87" s="23" t="s">
        <v>435</v>
      </c>
      <c r="C87" s="23" t="s">
        <v>36</v>
      </c>
      <c r="D87" s="23" t="s">
        <v>168</v>
      </c>
      <c r="E87" s="23" t="s">
        <v>59</v>
      </c>
      <c r="F87" s="23" t="s">
        <v>60</v>
      </c>
    </row>
    <row r="88" spans="1:6" x14ac:dyDescent="0.3">
      <c r="A88" s="18">
        <v>35</v>
      </c>
      <c r="B88" s="18" t="s">
        <v>436</v>
      </c>
      <c r="C88" s="18" t="s">
        <v>21</v>
      </c>
      <c r="D88" s="18" t="s">
        <v>168</v>
      </c>
      <c r="E88" s="18" t="s">
        <v>23</v>
      </c>
      <c r="F88" s="18" t="s">
        <v>24</v>
      </c>
    </row>
    <row r="89" spans="1:6" x14ac:dyDescent="0.3">
      <c r="A89" s="23">
        <v>38</v>
      </c>
      <c r="B89" s="23" t="s">
        <v>437</v>
      </c>
      <c r="C89" s="23" t="s">
        <v>21</v>
      </c>
      <c r="D89" s="23" t="s">
        <v>169</v>
      </c>
      <c r="E89" s="23" t="s">
        <v>37</v>
      </c>
      <c r="F89" s="23" t="s">
        <v>54</v>
      </c>
    </row>
  </sheetData>
  <phoneticPr fontId="18" type="noConversion"/>
  <conditionalFormatting sqref="A1:B89 D1:F89">
    <cfRule type="containsBlanks" dxfId="6" priority="2">
      <formula>LEN(TRIM(A1))=0</formula>
    </cfRule>
  </conditionalFormatting>
  <conditionalFormatting sqref="D8:F8 A8:B8">
    <cfRule type="duplicateValues" dxfId="5" priority="1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A06E-7708-48CD-A5FD-E64AB1495FC6}">
  <dimension ref="A1:F89"/>
  <sheetViews>
    <sheetView workbookViewId="0">
      <selection activeCell="F20" sqref="F20"/>
    </sheetView>
  </sheetViews>
  <sheetFormatPr defaultRowHeight="14.4" x14ac:dyDescent="0.3"/>
  <cols>
    <col min="1" max="1" width="18.109375" customWidth="1"/>
    <col min="2" max="2" width="12.33203125" customWidth="1"/>
    <col min="3" max="3" width="16.5546875" customWidth="1"/>
    <col min="4" max="6" width="23" customWidth="1"/>
  </cols>
  <sheetData>
    <row r="1" spans="1:6" s="8" customFormat="1" ht="97.5" customHeight="1" x14ac:dyDescent="0.3">
      <c r="A1" s="21" t="s">
        <v>10</v>
      </c>
      <c r="B1" s="62" t="s">
        <v>260</v>
      </c>
      <c r="C1" s="21" t="s">
        <v>11</v>
      </c>
      <c r="D1" s="63" t="s">
        <v>167</v>
      </c>
      <c r="E1" s="63" t="s">
        <v>166</v>
      </c>
      <c r="F1" s="63" t="s">
        <v>159</v>
      </c>
    </row>
    <row r="2" spans="1:6" x14ac:dyDescent="0.3">
      <c r="A2" s="57" t="s">
        <v>25</v>
      </c>
      <c r="B2" s="56" t="s">
        <v>261</v>
      </c>
      <c r="C2" s="57" t="s">
        <v>26</v>
      </c>
      <c r="D2" s="58" t="s">
        <v>160</v>
      </c>
      <c r="E2" s="58" t="s">
        <v>161</v>
      </c>
      <c r="F2" s="58" t="s">
        <v>440</v>
      </c>
    </row>
    <row r="3" spans="1:6" x14ac:dyDescent="0.3">
      <c r="A3" s="23" t="s">
        <v>25</v>
      </c>
      <c r="B3" s="59" t="s">
        <v>262</v>
      </c>
      <c r="C3" s="23" t="s">
        <v>26</v>
      </c>
      <c r="D3" s="60" t="s">
        <v>160</v>
      </c>
      <c r="E3" s="60" t="s">
        <v>162</v>
      </c>
      <c r="F3" s="60">
        <v>42</v>
      </c>
    </row>
    <row r="4" spans="1:6" x14ac:dyDescent="0.3">
      <c r="A4" s="18" t="s">
        <v>25</v>
      </c>
      <c r="B4" s="61" t="s">
        <v>263</v>
      </c>
      <c r="C4" s="18" t="s">
        <v>26</v>
      </c>
      <c r="D4" s="20" t="s">
        <v>163</v>
      </c>
      <c r="E4" s="20" t="s">
        <v>162</v>
      </c>
      <c r="F4" s="20">
        <v>46</v>
      </c>
    </row>
    <row r="5" spans="1:6" x14ac:dyDescent="0.3">
      <c r="A5" s="23" t="s">
        <v>25</v>
      </c>
      <c r="B5" s="59" t="s">
        <v>264</v>
      </c>
      <c r="C5" s="23" t="s">
        <v>26</v>
      </c>
      <c r="D5" s="60" t="s">
        <v>163</v>
      </c>
      <c r="E5" s="60" t="s">
        <v>162</v>
      </c>
      <c r="F5" s="60">
        <v>42</v>
      </c>
    </row>
    <row r="6" spans="1:6" x14ac:dyDescent="0.3">
      <c r="A6" s="18" t="s">
        <v>25</v>
      </c>
      <c r="B6" s="61" t="s">
        <v>265</v>
      </c>
      <c r="C6" s="18" t="s">
        <v>26</v>
      </c>
      <c r="D6" s="20" t="s">
        <v>160</v>
      </c>
      <c r="E6" s="20" t="s">
        <v>161</v>
      </c>
      <c r="F6" s="20">
        <v>46</v>
      </c>
    </row>
    <row r="7" spans="1:6" x14ac:dyDescent="0.3">
      <c r="A7" s="23" t="s">
        <v>25</v>
      </c>
      <c r="B7" s="59" t="s">
        <v>266</v>
      </c>
      <c r="C7" s="23" t="s">
        <v>26</v>
      </c>
      <c r="D7" s="60" t="s">
        <v>160</v>
      </c>
      <c r="E7" s="60" t="s">
        <v>161</v>
      </c>
      <c r="F7" s="60">
        <v>38</v>
      </c>
    </row>
    <row r="8" spans="1:6" x14ac:dyDescent="0.3">
      <c r="A8" s="18" t="s">
        <v>25</v>
      </c>
      <c r="B8" s="61" t="s">
        <v>267</v>
      </c>
      <c r="C8" s="18" t="s">
        <v>26</v>
      </c>
      <c r="D8" s="20" t="s">
        <v>160</v>
      </c>
      <c r="E8" s="20" t="s">
        <v>161</v>
      </c>
      <c r="F8" s="20">
        <v>46</v>
      </c>
    </row>
    <row r="9" spans="1:6" s="4" customFormat="1" x14ac:dyDescent="0.3">
      <c r="A9" s="23" t="s">
        <v>25</v>
      </c>
      <c r="B9" s="59" t="s">
        <v>268</v>
      </c>
      <c r="C9" s="23" t="s">
        <v>26</v>
      </c>
      <c r="D9" s="60" t="s">
        <v>163</v>
      </c>
      <c r="E9" s="60" t="s">
        <v>162</v>
      </c>
      <c r="F9" s="60">
        <v>42</v>
      </c>
    </row>
    <row r="10" spans="1:6" x14ac:dyDescent="0.3">
      <c r="A10" s="18" t="s">
        <v>25</v>
      </c>
      <c r="B10" s="61" t="s">
        <v>269</v>
      </c>
      <c r="C10" s="18" t="s">
        <v>26</v>
      </c>
      <c r="D10" s="20" t="s">
        <v>160</v>
      </c>
      <c r="E10" s="20" t="s">
        <v>161</v>
      </c>
      <c r="F10" s="20">
        <v>46</v>
      </c>
    </row>
    <row r="11" spans="1:6" x14ac:dyDescent="0.3">
      <c r="A11" s="23" t="s">
        <v>25</v>
      </c>
      <c r="B11" s="59" t="s">
        <v>270</v>
      </c>
      <c r="C11" s="23" t="s">
        <v>26</v>
      </c>
      <c r="D11" s="60" t="s">
        <v>160</v>
      </c>
      <c r="E11" s="60" t="s">
        <v>161</v>
      </c>
      <c r="F11" s="60">
        <v>38</v>
      </c>
    </row>
    <row r="12" spans="1:6" x14ac:dyDescent="0.3">
      <c r="A12" s="18" t="s">
        <v>25</v>
      </c>
      <c r="B12" s="61" t="s">
        <v>271</v>
      </c>
      <c r="C12" s="18" t="s">
        <v>26</v>
      </c>
      <c r="D12" s="20" t="s">
        <v>160</v>
      </c>
      <c r="E12" s="20" t="s">
        <v>162</v>
      </c>
      <c r="F12" s="20">
        <v>38</v>
      </c>
    </row>
    <row r="13" spans="1:6" x14ac:dyDescent="0.3">
      <c r="A13" s="23" t="s">
        <v>25</v>
      </c>
      <c r="B13" s="59" t="s">
        <v>272</v>
      </c>
      <c r="C13" s="23" t="s">
        <v>26</v>
      </c>
      <c r="D13" s="60" t="s">
        <v>160</v>
      </c>
      <c r="E13" s="60" t="s">
        <v>161</v>
      </c>
      <c r="F13" s="60">
        <v>46</v>
      </c>
    </row>
    <row r="14" spans="1:6" x14ac:dyDescent="0.3">
      <c r="A14" s="18" t="s">
        <v>25</v>
      </c>
      <c r="B14" s="61" t="s">
        <v>273</v>
      </c>
      <c r="C14" s="18" t="s">
        <v>26</v>
      </c>
      <c r="D14" s="20" t="s">
        <v>163</v>
      </c>
      <c r="E14" s="20" t="s">
        <v>162</v>
      </c>
      <c r="F14" s="20">
        <v>46</v>
      </c>
    </row>
    <row r="15" spans="1:6" x14ac:dyDescent="0.3">
      <c r="A15" s="23" t="s">
        <v>25</v>
      </c>
      <c r="B15" s="59" t="s">
        <v>274</v>
      </c>
      <c r="C15" s="23" t="s">
        <v>26</v>
      </c>
      <c r="D15" s="60" t="s">
        <v>160</v>
      </c>
      <c r="E15" s="60" t="s">
        <v>161</v>
      </c>
      <c r="F15" s="60">
        <v>46</v>
      </c>
    </row>
    <row r="16" spans="1:6" x14ac:dyDescent="0.3">
      <c r="A16" s="18" t="s">
        <v>25</v>
      </c>
      <c r="B16" s="61" t="s">
        <v>275</v>
      </c>
      <c r="C16" s="18" t="s">
        <v>26</v>
      </c>
      <c r="D16" s="20" t="s">
        <v>160</v>
      </c>
      <c r="E16" s="20" t="s">
        <v>161</v>
      </c>
      <c r="F16" s="20">
        <v>42</v>
      </c>
    </row>
    <row r="17" spans="1:6" x14ac:dyDescent="0.3">
      <c r="A17" s="23" t="s">
        <v>25</v>
      </c>
      <c r="B17" s="59" t="s">
        <v>276</v>
      </c>
      <c r="C17" s="23" t="s">
        <v>26</v>
      </c>
      <c r="D17" s="60" t="s">
        <v>160</v>
      </c>
      <c r="E17" s="60" t="s">
        <v>162</v>
      </c>
      <c r="F17" s="60">
        <v>38</v>
      </c>
    </row>
    <row r="18" spans="1:6" x14ac:dyDescent="0.3">
      <c r="A18" s="18" t="s">
        <v>25</v>
      </c>
      <c r="B18" s="61" t="s">
        <v>277</v>
      </c>
      <c r="C18" s="18" t="s">
        <v>26</v>
      </c>
      <c r="D18" s="20" t="s">
        <v>163</v>
      </c>
      <c r="E18" s="20" t="s">
        <v>162</v>
      </c>
      <c r="F18" s="20">
        <v>38</v>
      </c>
    </row>
    <row r="19" spans="1:6" x14ac:dyDescent="0.3">
      <c r="A19" s="23" t="s">
        <v>25</v>
      </c>
      <c r="B19" s="59" t="s">
        <v>278</v>
      </c>
      <c r="C19" s="23" t="s">
        <v>26</v>
      </c>
      <c r="D19" s="60" t="s">
        <v>160</v>
      </c>
      <c r="E19" s="60" t="s">
        <v>162</v>
      </c>
      <c r="F19" s="60">
        <v>42</v>
      </c>
    </row>
    <row r="20" spans="1:6" x14ac:dyDescent="0.3">
      <c r="A20" s="18" t="s">
        <v>25</v>
      </c>
      <c r="B20" s="61" t="s">
        <v>279</v>
      </c>
      <c r="C20" s="18" t="s">
        <v>26</v>
      </c>
      <c r="D20" s="20" t="s">
        <v>164</v>
      </c>
      <c r="E20" s="20" t="s">
        <v>162</v>
      </c>
      <c r="F20" s="20">
        <v>42</v>
      </c>
    </row>
    <row r="21" spans="1:6" x14ac:dyDescent="0.3">
      <c r="A21" s="23" t="s">
        <v>25</v>
      </c>
      <c r="B21" s="59" t="s">
        <v>280</v>
      </c>
      <c r="C21" s="23" t="s">
        <v>26</v>
      </c>
      <c r="D21" s="60" t="s">
        <v>160</v>
      </c>
      <c r="E21" s="60" t="s">
        <v>162</v>
      </c>
      <c r="F21" s="60">
        <v>38</v>
      </c>
    </row>
    <row r="22" spans="1:6" x14ac:dyDescent="0.3">
      <c r="A22" s="18" t="s">
        <v>25</v>
      </c>
      <c r="B22" s="61" t="s">
        <v>281</v>
      </c>
      <c r="C22" s="18" t="s">
        <v>26</v>
      </c>
      <c r="D22" s="20" t="s">
        <v>160</v>
      </c>
      <c r="E22" s="20" t="s">
        <v>161</v>
      </c>
      <c r="F22" s="20">
        <v>42</v>
      </c>
    </row>
    <row r="23" spans="1:6" x14ac:dyDescent="0.3">
      <c r="A23" s="23" t="s">
        <v>25</v>
      </c>
      <c r="B23" s="59" t="s">
        <v>282</v>
      </c>
      <c r="C23" s="23" t="s">
        <v>26</v>
      </c>
      <c r="D23" s="60" t="s">
        <v>164</v>
      </c>
      <c r="E23" s="60" t="s">
        <v>161</v>
      </c>
      <c r="F23" s="60">
        <v>42</v>
      </c>
    </row>
    <row r="24" spans="1:6" x14ac:dyDescent="0.3">
      <c r="A24" s="18" t="s">
        <v>25</v>
      </c>
      <c r="B24" s="61" t="s">
        <v>283</v>
      </c>
      <c r="C24" s="18" t="s">
        <v>26</v>
      </c>
      <c r="D24" s="20" t="s">
        <v>165</v>
      </c>
      <c r="E24" s="20" t="s">
        <v>161</v>
      </c>
      <c r="F24" s="20">
        <v>38</v>
      </c>
    </row>
    <row r="25" spans="1:6" x14ac:dyDescent="0.3">
      <c r="A25" s="23" t="s">
        <v>25</v>
      </c>
      <c r="B25" s="59" t="s">
        <v>284</v>
      </c>
      <c r="C25" s="23" t="s">
        <v>26</v>
      </c>
      <c r="D25" s="60" t="s">
        <v>160</v>
      </c>
      <c r="E25" s="60" t="s">
        <v>162</v>
      </c>
      <c r="F25" s="60">
        <v>42</v>
      </c>
    </row>
    <row r="26" spans="1:6" x14ac:dyDescent="0.3">
      <c r="A26" s="18" t="s">
        <v>25</v>
      </c>
      <c r="B26" s="61" t="s">
        <v>285</v>
      </c>
      <c r="C26" s="18" t="s">
        <v>26</v>
      </c>
      <c r="D26" s="20" t="s">
        <v>160</v>
      </c>
      <c r="E26" s="20" t="s">
        <v>161</v>
      </c>
      <c r="F26" s="20">
        <v>42</v>
      </c>
    </row>
    <row r="27" spans="1:6" x14ac:dyDescent="0.3">
      <c r="A27" s="23" t="s">
        <v>25</v>
      </c>
      <c r="B27" s="59" t="s">
        <v>286</v>
      </c>
      <c r="C27" s="23" t="s">
        <v>26</v>
      </c>
      <c r="D27" s="60" t="s">
        <v>160</v>
      </c>
      <c r="E27" s="60" t="s">
        <v>161</v>
      </c>
      <c r="F27" s="60">
        <v>42</v>
      </c>
    </row>
    <row r="28" spans="1:6" x14ac:dyDescent="0.3">
      <c r="A28" s="18" t="s">
        <v>25</v>
      </c>
      <c r="B28" s="61" t="s">
        <v>287</v>
      </c>
      <c r="C28" s="18" t="s">
        <v>26</v>
      </c>
      <c r="D28" s="20" t="s">
        <v>160</v>
      </c>
      <c r="E28" s="20" t="s">
        <v>161</v>
      </c>
      <c r="F28" s="20">
        <v>38</v>
      </c>
    </row>
    <row r="29" spans="1:6" x14ac:dyDescent="0.3">
      <c r="A29" s="23" t="s">
        <v>25</v>
      </c>
      <c r="B29" s="59" t="s">
        <v>288</v>
      </c>
      <c r="C29" s="23" t="s">
        <v>26</v>
      </c>
      <c r="D29" s="60" t="s">
        <v>164</v>
      </c>
      <c r="E29" s="60" t="s">
        <v>161</v>
      </c>
      <c r="F29" s="60">
        <v>40</v>
      </c>
    </row>
    <row r="30" spans="1:6" x14ac:dyDescent="0.3">
      <c r="A30" s="18" t="s">
        <v>25</v>
      </c>
      <c r="B30" s="61" t="s">
        <v>289</v>
      </c>
      <c r="C30" s="18" t="s">
        <v>26</v>
      </c>
      <c r="D30" s="20" t="s">
        <v>165</v>
      </c>
      <c r="E30" s="20" t="s">
        <v>162</v>
      </c>
      <c r="F30" s="20">
        <v>44</v>
      </c>
    </row>
    <row r="31" spans="1:6" x14ac:dyDescent="0.3">
      <c r="A31" s="23" t="s">
        <v>25</v>
      </c>
      <c r="B31" s="59" t="s">
        <v>290</v>
      </c>
      <c r="C31" s="23" t="s">
        <v>26</v>
      </c>
      <c r="D31" s="60" t="s">
        <v>160</v>
      </c>
      <c r="E31" s="60" t="s">
        <v>161</v>
      </c>
      <c r="F31" s="60">
        <v>38</v>
      </c>
    </row>
    <row r="32" spans="1:6" x14ac:dyDescent="0.3">
      <c r="A32" s="18" t="s">
        <v>25</v>
      </c>
      <c r="B32" s="61" t="s">
        <v>291</v>
      </c>
      <c r="C32" s="18" t="s">
        <v>26</v>
      </c>
      <c r="D32" s="20" t="s">
        <v>160</v>
      </c>
      <c r="E32" s="20" t="s">
        <v>161</v>
      </c>
      <c r="F32" s="20">
        <v>38</v>
      </c>
    </row>
    <row r="33" spans="1:6" x14ac:dyDescent="0.3">
      <c r="A33" s="23" t="s">
        <v>25</v>
      </c>
      <c r="B33" s="59" t="s">
        <v>292</v>
      </c>
      <c r="C33" s="23" t="s">
        <v>26</v>
      </c>
      <c r="D33" s="60" t="s">
        <v>163</v>
      </c>
      <c r="E33" s="60" t="s">
        <v>162</v>
      </c>
      <c r="F33" s="60">
        <v>38</v>
      </c>
    </row>
    <row r="34" spans="1:6" x14ac:dyDescent="0.3">
      <c r="A34" s="18" t="s">
        <v>25</v>
      </c>
      <c r="B34" s="61" t="s">
        <v>293</v>
      </c>
      <c r="C34" s="18" t="s">
        <v>26</v>
      </c>
      <c r="D34" s="20" t="s">
        <v>160</v>
      </c>
      <c r="E34" s="20" t="s">
        <v>161</v>
      </c>
      <c r="F34" s="20">
        <v>46</v>
      </c>
    </row>
    <row r="35" spans="1:6" x14ac:dyDescent="0.3">
      <c r="A35" s="23" t="s">
        <v>25</v>
      </c>
      <c r="B35" s="59" t="s">
        <v>294</v>
      </c>
      <c r="C35" s="23" t="s">
        <v>26</v>
      </c>
      <c r="D35" s="60" t="s">
        <v>163</v>
      </c>
      <c r="E35" s="60" t="s">
        <v>162</v>
      </c>
      <c r="F35" s="60">
        <v>46</v>
      </c>
    </row>
    <row r="36" spans="1:6" x14ac:dyDescent="0.3">
      <c r="A36" s="18" t="s">
        <v>25</v>
      </c>
      <c r="B36" s="61" t="s">
        <v>295</v>
      </c>
      <c r="C36" s="18" t="s">
        <v>26</v>
      </c>
      <c r="D36" s="20" t="s">
        <v>160</v>
      </c>
      <c r="E36" s="20" t="s">
        <v>162</v>
      </c>
      <c r="F36" s="20">
        <v>38</v>
      </c>
    </row>
    <row r="37" spans="1:6" x14ac:dyDescent="0.3">
      <c r="A37" s="23" t="s">
        <v>25</v>
      </c>
      <c r="B37" s="59" t="s">
        <v>296</v>
      </c>
      <c r="C37" s="23" t="s">
        <v>26</v>
      </c>
      <c r="D37" s="60" t="s">
        <v>160</v>
      </c>
      <c r="E37" s="60" t="s">
        <v>162</v>
      </c>
      <c r="F37" s="60">
        <v>42</v>
      </c>
    </row>
    <row r="38" spans="1:6" x14ac:dyDescent="0.3">
      <c r="A38" s="18" t="s">
        <v>25</v>
      </c>
      <c r="B38" s="61" t="s">
        <v>297</v>
      </c>
      <c r="C38" s="18" t="s">
        <v>26</v>
      </c>
      <c r="D38" s="20" t="s">
        <v>163</v>
      </c>
      <c r="E38" s="20" t="s">
        <v>162</v>
      </c>
      <c r="F38" s="20">
        <v>46</v>
      </c>
    </row>
    <row r="39" spans="1:6" x14ac:dyDescent="0.3">
      <c r="A39" s="23" t="s">
        <v>25</v>
      </c>
      <c r="B39" s="59" t="s">
        <v>298</v>
      </c>
      <c r="C39" s="23" t="s">
        <v>26</v>
      </c>
      <c r="D39" s="60" t="s">
        <v>160</v>
      </c>
      <c r="E39" s="60" t="s">
        <v>161</v>
      </c>
      <c r="F39" s="60">
        <v>38</v>
      </c>
    </row>
    <row r="40" spans="1:6" x14ac:dyDescent="0.3">
      <c r="A40" s="18" t="s">
        <v>25</v>
      </c>
      <c r="B40" s="61" t="s">
        <v>299</v>
      </c>
      <c r="C40" s="18" t="s">
        <v>26</v>
      </c>
      <c r="D40" s="20" t="s">
        <v>160</v>
      </c>
      <c r="E40" s="20" t="s">
        <v>162</v>
      </c>
      <c r="F40" s="20">
        <v>42</v>
      </c>
    </row>
    <row r="41" spans="1:6" x14ac:dyDescent="0.3">
      <c r="A41" s="23" t="s">
        <v>25</v>
      </c>
      <c r="B41" s="59" t="s">
        <v>300</v>
      </c>
      <c r="C41" s="23" t="s">
        <v>26</v>
      </c>
      <c r="D41" s="60" t="s">
        <v>160</v>
      </c>
      <c r="E41" s="60" t="s">
        <v>162</v>
      </c>
      <c r="F41" s="60">
        <v>42</v>
      </c>
    </row>
    <row r="42" spans="1:6" x14ac:dyDescent="0.3">
      <c r="A42" s="18" t="s">
        <v>25</v>
      </c>
      <c r="B42" s="61" t="s">
        <v>301</v>
      </c>
      <c r="C42" s="18" t="s">
        <v>26</v>
      </c>
      <c r="D42" s="20" t="s">
        <v>160</v>
      </c>
      <c r="E42" s="20" t="s">
        <v>162</v>
      </c>
      <c r="F42" s="20">
        <v>42</v>
      </c>
    </row>
    <row r="43" spans="1:6" x14ac:dyDescent="0.3">
      <c r="A43" s="23" t="s">
        <v>25</v>
      </c>
      <c r="B43" s="59" t="s">
        <v>302</v>
      </c>
      <c r="C43" s="23" t="s">
        <v>26</v>
      </c>
      <c r="D43" s="60" t="s">
        <v>164</v>
      </c>
      <c r="E43" s="60" t="s">
        <v>162</v>
      </c>
      <c r="F43" s="60">
        <v>40</v>
      </c>
    </row>
    <row r="44" spans="1:6" x14ac:dyDescent="0.3">
      <c r="A44" s="18" t="s">
        <v>25</v>
      </c>
      <c r="B44" s="61" t="s">
        <v>303</v>
      </c>
      <c r="C44" s="18" t="s">
        <v>26</v>
      </c>
      <c r="D44" s="20" t="s">
        <v>160</v>
      </c>
      <c r="E44" s="20" t="s">
        <v>161</v>
      </c>
      <c r="F44" s="20">
        <v>38</v>
      </c>
    </row>
    <row r="45" spans="1:6" x14ac:dyDescent="0.3">
      <c r="A45" s="23" t="s">
        <v>25</v>
      </c>
      <c r="B45" s="59" t="s">
        <v>304</v>
      </c>
      <c r="C45" s="23" t="s">
        <v>26</v>
      </c>
      <c r="D45" s="60" t="s">
        <v>160</v>
      </c>
      <c r="E45" s="60" t="s">
        <v>161</v>
      </c>
      <c r="F45" s="60">
        <v>38</v>
      </c>
    </row>
    <row r="46" spans="1:6" x14ac:dyDescent="0.3">
      <c r="A46" s="18" t="s">
        <v>25</v>
      </c>
      <c r="B46" s="61" t="s">
        <v>305</v>
      </c>
      <c r="C46" s="18" t="s">
        <v>26</v>
      </c>
      <c r="D46" s="20" t="s">
        <v>160</v>
      </c>
      <c r="E46" s="20" t="s">
        <v>162</v>
      </c>
      <c r="F46" s="20">
        <v>38</v>
      </c>
    </row>
    <row r="47" spans="1:6" x14ac:dyDescent="0.3">
      <c r="A47" s="23" t="s">
        <v>25</v>
      </c>
      <c r="B47" s="59" t="s">
        <v>306</v>
      </c>
      <c r="C47" s="23" t="s">
        <v>26</v>
      </c>
      <c r="D47" s="60" t="s">
        <v>160</v>
      </c>
      <c r="E47" s="60" t="s">
        <v>161</v>
      </c>
      <c r="F47" s="60">
        <v>46</v>
      </c>
    </row>
    <row r="48" spans="1:6" x14ac:dyDescent="0.3">
      <c r="A48" s="18" t="s">
        <v>25</v>
      </c>
      <c r="B48" s="61" t="s">
        <v>307</v>
      </c>
      <c r="C48" s="18" t="s">
        <v>26</v>
      </c>
      <c r="D48" s="20" t="s">
        <v>163</v>
      </c>
      <c r="E48" s="20" t="s">
        <v>162</v>
      </c>
      <c r="F48" s="20">
        <v>46</v>
      </c>
    </row>
    <row r="49" spans="1:6" x14ac:dyDescent="0.3">
      <c r="A49" s="23" t="s">
        <v>25</v>
      </c>
      <c r="B49" s="59" t="s">
        <v>308</v>
      </c>
      <c r="C49" s="23" t="s">
        <v>26</v>
      </c>
      <c r="D49" s="60" t="s">
        <v>160</v>
      </c>
      <c r="E49" s="60" t="s">
        <v>162</v>
      </c>
      <c r="F49" s="60">
        <v>42</v>
      </c>
    </row>
    <row r="50" spans="1:6" x14ac:dyDescent="0.3">
      <c r="A50" s="18" t="s">
        <v>25</v>
      </c>
      <c r="B50" s="61" t="s">
        <v>309</v>
      </c>
      <c r="C50" s="18" t="s">
        <v>26</v>
      </c>
      <c r="D50" s="20" t="s">
        <v>160</v>
      </c>
      <c r="E50" s="20" t="s">
        <v>161</v>
      </c>
      <c r="F50" s="20">
        <v>38</v>
      </c>
    </row>
    <row r="51" spans="1:6" x14ac:dyDescent="0.3">
      <c r="A51" s="23" t="s">
        <v>25</v>
      </c>
      <c r="B51" s="59" t="s">
        <v>310</v>
      </c>
      <c r="C51" s="23" t="s">
        <v>26</v>
      </c>
      <c r="D51" s="60" t="s">
        <v>160</v>
      </c>
      <c r="E51" s="60" t="s">
        <v>161</v>
      </c>
      <c r="F51" s="60">
        <v>38</v>
      </c>
    </row>
    <row r="52" spans="1:6" x14ac:dyDescent="0.3">
      <c r="A52" s="18" t="s">
        <v>25</v>
      </c>
      <c r="B52" s="61" t="s">
        <v>311</v>
      </c>
      <c r="C52" s="18" t="s">
        <v>26</v>
      </c>
      <c r="D52" s="20" t="s">
        <v>160</v>
      </c>
      <c r="E52" s="20" t="s">
        <v>162</v>
      </c>
      <c r="F52" s="20">
        <v>46</v>
      </c>
    </row>
    <row r="53" spans="1:6" x14ac:dyDescent="0.3">
      <c r="A53" s="23" t="s">
        <v>25</v>
      </c>
      <c r="B53" s="59" t="s">
        <v>312</v>
      </c>
      <c r="C53" s="23" t="s">
        <v>26</v>
      </c>
      <c r="D53" s="60" t="s">
        <v>160</v>
      </c>
      <c r="E53" s="60" t="s">
        <v>162</v>
      </c>
      <c r="F53" s="60">
        <v>38</v>
      </c>
    </row>
    <row r="54" spans="1:6" x14ac:dyDescent="0.3">
      <c r="A54" s="18" t="s">
        <v>25</v>
      </c>
      <c r="B54" s="61" t="s">
        <v>313</v>
      </c>
      <c r="C54" s="18" t="s">
        <v>26</v>
      </c>
      <c r="D54" s="20" t="s">
        <v>163</v>
      </c>
      <c r="E54" s="20" t="s">
        <v>162</v>
      </c>
      <c r="F54" s="20">
        <v>42</v>
      </c>
    </row>
    <row r="55" spans="1:6" x14ac:dyDescent="0.3">
      <c r="A55" s="23" t="s">
        <v>25</v>
      </c>
      <c r="B55" s="59" t="s">
        <v>314</v>
      </c>
      <c r="C55" s="23" t="s">
        <v>26</v>
      </c>
      <c r="D55" s="60" t="s">
        <v>160</v>
      </c>
      <c r="E55" s="60" t="s">
        <v>162</v>
      </c>
      <c r="F55" s="60">
        <v>46</v>
      </c>
    </row>
    <row r="56" spans="1:6" x14ac:dyDescent="0.3">
      <c r="A56" s="18" t="s">
        <v>25</v>
      </c>
      <c r="B56" s="61" t="s">
        <v>315</v>
      </c>
      <c r="C56" s="18" t="s">
        <v>26</v>
      </c>
      <c r="D56" s="20" t="s">
        <v>164</v>
      </c>
      <c r="E56" s="20" t="s">
        <v>162</v>
      </c>
      <c r="F56" s="20">
        <v>42</v>
      </c>
    </row>
    <row r="57" spans="1:6" x14ac:dyDescent="0.3">
      <c r="A57" s="23" t="s">
        <v>25</v>
      </c>
      <c r="B57" s="59" t="s">
        <v>316</v>
      </c>
      <c r="C57" s="23" t="s">
        <v>26</v>
      </c>
      <c r="D57" s="60" t="s">
        <v>160</v>
      </c>
      <c r="E57" s="60" t="s">
        <v>162</v>
      </c>
      <c r="F57" s="60">
        <v>46</v>
      </c>
    </row>
    <row r="58" spans="1:6" x14ac:dyDescent="0.3">
      <c r="A58" s="18" t="s">
        <v>25</v>
      </c>
      <c r="B58" s="61" t="s">
        <v>317</v>
      </c>
      <c r="C58" s="18" t="s">
        <v>26</v>
      </c>
      <c r="D58" s="20" t="s">
        <v>160</v>
      </c>
      <c r="E58" s="20" t="s">
        <v>162</v>
      </c>
      <c r="F58" s="20">
        <v>38</v>
      </c>
    </row>
    <row r="59" spans="1:6" x14ac:dyDescent="0.3">
      <c r="A59" s="23" t="s">
        <v>25</v>
      </c>
      <c r="B59" s="59" t="s">
        <v>318</v>
      </c>
      <c r="C59" s="23" t="s">
        <v>26</v>
      </c>
      <c r="D59" s="60" t="s">
        <v>163</v>
      </c>
      <c r="E59" s="60" t="s">
        <v>162</v>
      </c>
      <c r="F59" s="60">
        <v>42</v>
      </c>
    </row>
    <row r="60" spans="1:6" x14ac:dyDescent="0.3">
      <c r="A60" s="18" t="s">
        <v>25</v>
      </c>
      <c r="B60" s="61" t="s">
        <v>319</v>
      </c>
      <c r="C60" s="18" t="s">
        <v>26</v>
      </c>
      <c r="D60" s="20" t="s">
        <v>160</v>
      </c>
      <c r="E60" s="20" t="s">
        <v>161</v>
      </c>
      <c r="F60" s="20">
        <v>42</v>
      </c>
    </row>
    <row r="61" spans="1:6" x14ac:dyDescent="0.3">
      <c r="A61" s="23" t="s">
        <v>25</v>
      </c>
      <c r="B61" s="59" t="s">
        <v>320</v>
      </c>
      <c r="C61" s="23" t="s">
        <v>26</v>
      </c>
      <c r="D61" s="60" t="s">
        <v>160</v>
      </c>
      <c r="E61" s="60" t="s">
        <v>161</v>
      </c>
      <c r="F61" s="60">
        <v>46</v>
      </c>
    </row>
    <row r="62" spans="1:6" x14ac:dyDescent="0.3">
      <c r="A62" s="18" t="s">
        <v>25</v>
      </c>
      <c r="B62" s="61" t="s">
        <v>321</v>
      </c>
      <c r="C62" s="18" t="s">
        <v>26</v>
      </c>
      <c r="D62" s="20" t="s">
        <v>160</v>
      </c>
      <c r="E62" s="20" t="s">
        <v>162</v>
      </c>
      <c r="F62" s="20">
        <v>38</v>
      </c>
    </row>
    <row r="63" spans="1:6" x14ac:dyDescent="0.3">
      <c r="A63" s="23" t="s">
        <v>25</v>
      </c>
      <c r="B63" s="59" t="s">
        <v>322</v>
      </c>
      <c r="C63" s="23" t="s">
        <v>26</v>
      </c>
      <c r="D63" s="60" t="s">
        <v>160</v>
      </c>
      <c r="E63" s="60" t="s">
        <v>162</v>
      </c>
      <c r="F63" s="60">
        <v>46</v>
      </c>
    </row>
    <row r="64" spans="1:6" x14ac:dyDescent="0.3">
      <c r="A64" s="18" t="s">
        <v>25</v>
      </c>
      <c r="B64" s="61" t="s">
        <v>323</v>
      </c>
      <c r="C64" s="18" t="s">
        <v>26</v>
      </c>
      <c r="D64" s="20" t="s">
        <v>164</v>
      </c>
      <c r="E64" s="20" t="s">
        <v>161</v>
      </c>
      <c r="F64" s="20">
        <v>44</v>
      </c>
    </row>
    <row r="65" spans="1:6" x14ac:dyDescent="0.3">
      <c r="A65" s="23" t="s">
        <v>25</v>
      </c>
      <c r="B65" s="59" t="s">
        <v>324</v>
      </c>
      <c r="C65" s="23" t="s">
        <v>26</v>
      </c>
      <c r="D65" s="60" t="s">
        <v>160</v>
      </c>
      <c r="E65" s="60" t="s">
        <v>161</v>
      </c>
      <c r="F65" s="60">
        <v>38</v>
      </c>
    </row>
    <row r="66" spans="1:6" x14ac:dyDescent="0.3">
      <c r="A66" s="18" t="s">
        <v>25</v>
      </c>
      <c r="B66" s="61" t="s">
        <v>325</v>
      </c>
      <c r="C66" s="18" t="s">
        <v>26</v>
      </c>
      <c r="D66" s="20" t="s">
        <v>165</v>
      </c>
      <c r="E66" s="20" t="s">
        <v>161</v>
      </c>
      <c r="F66" s="20">
        <v>48</v>
      </c>
    </row>
    <row r="67" spans="1:6" x14ac:dyDescent="0.3">
      <c r="A67" s="23" t="s">
        <v>25</v>
      </c>
      <c r="B67" s="59" t="s">
        <v>326</v>
      </c>
      <c r="C67" s="23" t="s">
        <v>26</v>
      </c>
      <c r="D67" s="60" t="s">
        <v>160</v>
      </c>
      <c r="E67" s="60" t="s">
        <v>161</v>
      </c>
      <c r="F67" s="60">
        <v>38</v>
      </c>
    </row>
    <row r="68" spans="1:6" x14ac:dyDescent="0.3">
      <c r="A68" s="18" t="s">
        <v>25</v>
      </c>
      <c r="B68" s="61" t="s">
        <v>327</v>
      </c>
      <c r="C68" s="18" t="s">
        <v>26</v>
      </c>
      <c r="D68" s="20" t="s">
        <v>160</v>
      </c>
      <c r="E68" s="20" t="s">
        <v>161</v>
      </c>
      <c r="F68" s="20">
        <v>46</v>
      </c>
    </row>
    <row r="69" spans="1:6" x14ac:dyDescent="0.3">
      <c r="A69" s="23" t="s">
        <v>25</v>
      </c>
      <c r="B69" s="59" t="s">
        <v>328</v>
      </c>
      <c r="C69" s="23" t="s">
        <v>26</v>
      </c>
      <c r="D69" s="60" t="s">
        <v>160</v>
      </c>
      <c r="E69" s="60" t="s">
        <v>161</v>
      </c>
      <c r="F69" s="60">
        <v>46</v>
      </c>
    </row>
    <row r="70" spans="1:6" x14ac:dyDescent="0.3">
      <c r="A70" s="18" t="s">
        <v>25</v>
      </c>
      <c r="B70" s="61" t="s">
        <v>329</v>
      </c>
      <c r="C70" s="18" t="s">
        <v>26</v>
      </c>
      <c r="D70" s="20" t="s">
        <v>164</v>
      </c>
      <c r="E70" s="20" t="s">
        <v>161</v>
      </c>
      <c r="F70" s="20">
        <v>40</v>
      </c>
    </row>
    <row r="71" spans="1:6" x14ac:dyDescent="0.3">
      <c r="A71" s="23" t="s">
        <v>25</v>
      </c>
      <c r="B71" s="59" t="s">
        <v>330</v>
      </c>
      <c r="C71" s="23" t="s">
        <v>26</v>
      </c>
      <c r="D71" s="60" t="s">
        <v>160</v>
      </c>
      <c r="E71" s="60" t="s">
        <v>161</v>
      </c>
      <c r="F71" s="60">
        <v>46</v>
      </c>
    </row>
    <row r="72" spans="1:6" x14ac:dyDescent="0.3">
      <c r="A72" s="18" t="s">
        <v>25</v>
      </c>
      <c r="B72" s="61" t="s">
        <v>331</v>
      </c>
      <c r="C72" s="18" t="s">
        <v>26</v>
      </c>
      <c r="D72" s="20" t="s">
        <v>160</v>
      </c>
      <c r="E72" s="20" t="s">
        <v>162</v>
      </c>
      <c r="F72" s="20">
        <v>38</v>
      </c>
    </row>
    <row r="73" spans="1:6" x14ac:dyDescent="0.3">
      <c r="A73" s="23" t="s">
        <v>25</v>
      </c>
      <c r="B73" s="59" t="s">
        <v>332</v>
      </c>
      <c r="C73" s="23" t="s">
        <v>26</v>
      </c>
      <c r="D73" s="60" t="s">
        <v>165</v>
      </c>
      <c r="E73" s="60" t="s">
        <v>161</v>
      </c>
      <c r="F73" s="60">
        <v>38</v>
      </c>
    </row>
    <row r="74" spans="1:6" x14ac:dyDescent="0.3">
      <c r="A74" s="18" t="s">
        <v>25</v>
      </c>
      <c r="B74" s="61" t="s">
        <v>333</v>
      </c>
      <c r="C74" s="18" t="s">
        <v>26</v>
      </c>
      <c r="D74" s="20" t="s">
        <v>160</v>
      </c>
      <c r="E74" s="20" t="s">
        <v>161</v>
      </c>
      <c r="F74" s="20">
        <v>46</v>
      </c>
    </row>
    <row r="75" spans="1:6" x14ac:dyDescent="0.3">
      <c r="A75" s="23" t="s">
        <v>25</v>
      </c>
      <c r="B75" s="59" t="s">
        <v>334</v>
      </c>
      <c r="C75" s="23" t="s">
        <v>26</v>
      </c>
      <c r="D75" s="60" t="s">
        <v>164</v>
      </c>
      <c r="E75" s="60" t="s">
        <v>161</v>
      </c>
      <c r="F75" s="60">
        <v>52</v>
      </c>
    </row>
    <row r="76" spans="1:6" x14ac:dyDescent="0.3">
      <c r="A76" s="18" t="s">
        <v>25</v>
      </c>
      <c r="B76" s="61" t="s">
        <v>335</v>
      </c>
      <c r="C76" s="18" t="s">
        <v>26</v>
      </c>
      <c r="D76" s="20" t="s">
        <v>160</v>
      </c>
      <c r="E76" s="20" t="s">
        <v>162</v>
      </c>
      <c r="F76" s="20">
        <v>38</v>
      </c>
    </row>
    <row r="77" spans="1:6" x14ac:dyDescent="0.3">
      <c r="A77" s="23" t="s">
        <v>25</v>
      </c>
      <c r="B77" s="59" t="s">
        <v>336</v>
      </c>
      <c r="C77" s="23" t="s">
        <v>26</v>
      </c>
      <c r="D77" s="60" t="s">
        <v>160</v>
      </c>
      <c r="E77" s="60" t="s">
        <v>162</v>
      </c>
      <c r="F77" s="60">
        <v>38</v>
      </c>
    </row>
    <row r="78" spans="1:6" x14ac:dyDescent="0.3">
      <c r="A78" s="18" t="s">
        <v>25</v>
      </c>
      <c r="B78" s="61" t="s">
        <v>337</v>
      </c>
      <c r="C78" s="18" t="s">
        <v>26</v>
      </c>
      <c r="D78" s="20" t="s">
        <v>160</v>
      </c>
      <c r="E78" s="20" t="s">
        <v>162</v>
      </c>
      <c r="F78" s="20">
        <v>38</v>
      </c>
    </row>
    <row r="79" spans="1:6" x14ac:dyDescent="0.3">
      <c r="A79" s="23" t="s">
        <v>25</v>
      </c>
      <c r="B79" s="59" t="s">
        <v>338</v>
      </c>
      <c r="C79" s="23" t="s">
        <v>26</v>
      </c>
      <c r="D79" s="60" t="s">
        <v>163</v>
      </c>
      <c r="E79" s="60" t="s">
        <v>162</v>
      </c>
      <c r="F79" s="60">
        <v>46</v>
      </c>
    </row>
    <row r="80" spans="1:6" x14ac:dyDescent="0.3">
      <c r="A80" s="18" t="s">
        <v>25</v>
      </c>
      <c r="B80" s="61" t="s">
        <v>339</v>
      </c>
      <c r="C80" s="18" t="s">
        <v>26</v>
      </c>
      <c r="D80" s="20" t="s">
        <v>160</v>
      </c>
      <c r="E80" s="20" t="s">
        <v>162</v>
      </c>
      <c r="F80" s="20">
        <v>38</v>
      </c>
    </row>
    <row r="81" spans="1:6" x14ac:dyDescent="0.3">
      <c r="A81" s="23" t="s">
        <v>25</v>
      </c>
      <c r="B81" s="59" t="s">
        <v>340</v>
      </c>
      <c r="C81" s="23" t="s">
        <v>26</v>
      </c>
      <c r="D81" s="60" t="s">
        <v>160</v>
      </c>
      <c r="E81" s="60" t="s">
        <v>161</v>
      </c>
      <c r="F81" s="60">
        <v>42</v>
      </c>
    </row>
    <row r="82" spans="1:6" x14ac:dyDescent="0.3">
      <c r="A82" s="18" t="s">
        <v>25</v>
      </c>
      <c r="B82" s="61" t="s">
        <v>341</v>
      </c>
      <c r="C82" s="18" t="s">
        <v>26</v>
      </c>
      <c r="D82" s="20" t="s">
        <v>164</v>
      </c>
      <c r="E82" s="20" t="s">
        <v>162</v>
      </c>
      <c r="F82" s="20">
        <v>42</v>
      </c>
    </row>
    <row r="83" spans="1:6" x14ac:dyDescent="0.3">
      <c r="A83" s="23" t="s">
        <v>25</v>
      </c>
      <c r="B83" s="59" t="s">
        <v>342</v>
      </c>
      <c r="C83" s="23" t="s">
        <v>26</v>
      </c>
      <c r="D83" s="60" t="s">
        <v>160</v>
      </c>
      <c r="E83" s="60" t="s">
        <v>161</v>
      </c>
      <c r="F83" s="60">
        <v>38</v>
      </c>
    </row>
    <row r="84" spans="1:6" x14ac:dyDescent="0.3">
      <c r="A84" s="18" t="s">
        <v>25</v>
      </c>
      <c r="B84" s="61" t="s">
        <v>343</v>
      </c>
      <c r="C84" s="18" t="s">
        <v>26</v>
      </c>
      <c r="D84" s="20" t="s">
        <v>160</v>
      </c>
      <c r="E84" s="20" t="s">
        <v>161</v>
      </c>
      <c r="F84" s="20">
        <v>46</v>
      </c>
    </row>
    <row r="85" spans="1:6" x14ac:dyDescent="0.3">
      <c r="A85" s="23" t="s">
        <v>25</v>
      </c>
      <c r="B85" s="59" t="s">
        <v>344</v>
      </c>
      <c r="C85" s="23" t="s">
        <v>26</v>
      </c>
      <c r="D85" s="60" t="s">
        <v>160</v>
      </c>
      <c r="E85" s="60" t="s">
        <v>162</v>
      </c>
      <c r="F85" s="60">
        <v>38</v>
      </c>
    </row>
    <row r="86" spans="1:6" x14ac:dyDescent="0.3">
      <c r="A86" s="18" t="s">
        <v>25</v>
      </c>
      <c r="B86" s="61" t="s">
        <v>345</v>
      </c>
      <c r="C86" s="18" t="s">
        <v>26</v>
      </c>
      <c r="D86" s="20" t="s">
        <v>160</v>
      </c>
      <c r="E86" s="20" t="s">
        <v>162</v>
      </c>
      <c r="F86" s="20">
        <v>42</v>
      </c>
    </row>
    <row r="87" spans="1:6" x14ac:dyDescent="0.3">
      <c r="A87" s="23" t="s">
        <v>25</v>
      </c>
      <c r="B87" s="59" t="s">
        <v>346</v>
      </c>
      <c r="C87" s="23" t="s">
        <v>26</v>
      </c>
      <c r="D87" s="60" t="s">
        <v>160</v>
      </c>
      <c r="E87" s="60" t="s">
        <v>161</v>
      </c>
      <c r="F87" s="60">
        <v>42</v>
      </c>
    </row>
    <row r="88" spans="1:6" x14ac:dyDescent="0.3">
      <c r="A88" s="18" t="s">
        <v>25</v>
      </c>
      <c r="B88" s="61" t="s">
        <v>347</v>
      </c>
      <c r="C88" s="18" t="s">
        <v>26</v>
      </c>
      <c r="D88" s="20" t="s">
        <v>164</v>
      </c>
      <c r="E88" s="20" t="s">
        <v>161</v>
      </c>
      <c r="F88" s="20">
        <v>42</v>
      </c>
    </row>
    <row r="89" spans="1:6" x14ac:dyDescent="0.3">
      <c r="A89" s="23" t="s">
        <v>25</v>
      </c>
      <c r="B89" s="59" t="s">
        <v>348</v>
      </c>
      <c r="C89" s="23" t="s">
        <v>26</v>
      </c>
      <c r="D89" s="60" t="s">
        <v>160</v>
      </c>
      <c r="E89" s="60" t="s">
        <v>161</v>
      </c>
      <c r="F89" s="60">
        <v>42</v>
      </c>
    </row>
  </sheetData>
  <phoneticPr fontId="18" type="noConversion"/>
  <conditionalFormatting sqref="A1:A89 C1:F89">
    <cfRule type="containsBlanks" dxfId="4" priority="2">
      <formula>LEN(TRIM(A1))=0</formula>
    </cfRule>
  </conditionalFormatting>
  <conditionalFormatting sqref="A8 C8:F8">
    <cfRule type="duplicateValues" dxfId="3" priority="1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6011-54BE-442B-8B9A-7E27406BB25C}">
  <dimension ref="A1:B89"/>
  <sheetViews>
    <sheetView topLeftCell="A76" workbookViewId="0">
      <selection activeCell="J98" sqref="J98"/>
    </sheetView>
  </sheetViews>
  <sheetFormatPr defaultRowHeight="14.4" x14ac:dyDescent="0.3"/>
  <cols>
    <col min="1" max="1" width="15.109375" customWidth="1"/>
    <col min="2" max="2" width="10.44140625" customWidth="1"/>
  </cols>
  <sheetData>
    <row r="1" spans="1:2" s="8" customFormat="1" ht="97.5" customHeight="1" x14ac:dyDescent="0.3">
      <c r="A1" s="17" t="s">
        <v>0</v>
      </c>
      <c r="B1" s="47" t="s">
        <v>171</v>
      </c>
    </row>
    <row r="2" spans="1:2" x14ac:dyDescent="0.3">
      <c r="A2" s="44" t="s">
        <v>19</v>
      </c>
      <c r="B2" s="48" t="s">
        <v>172</v>
      </c>
    </row>
    <row r="3" spans="1:2" x14ac:dyDescent="0.3">
      <c r="A3" s="45">
        <v>261696</v>
      </c>
      <c r="B3" s="49" t="s">
        <v>173</v>
      </c>
    </row>
    <row r="4" spans="1:2" x14ac:dyDescent="0.3">
      <c r="A4" s="44" t="s">
        <v>32</v>
      </c>
      <c r="B4" s="48" t="s">
        <v>174</v>
      </c>
    </row>
    <row r="5" spans="1:2" x14ac:dyDescent="0.3">
      <c r="A5" s="45" t="s">
        <v>35</v>
      </c>
      <c r="B5" s="49" t="s">
        <v>175</v>
      </c>
    </row>
    <row r="6" spans="1:2" x14ac:dyDescent="0.3">
      <c r="A6" s="44" t="s">
        <v>40</v>
      </c>
      <c r="B6" s="48" t="s">
        <v>176</v>
      </c>
    </row>
    <row r="7" spans="1:2" x14ac:dyDescent="0.3">
      <c r="A7" s="45" t="s">
        <v>42</v>
      </c>
      <c r="B7" s="49" t="s">
        <v>177</v>
      </c>
    </row>
    <row r="8" spans="1:2" x14ac:dyDescent="0.3">
      <c r="A8" s="44" t="s">
        <v>45</v>
      </c>
      <c r="B8" s="48" t="s">
        <v>178</v>
      </c>
    </row>
    <row r="9" spans="1:2" s="4" customFormat="1" x14ac:dyDescent="0.3">
      <c r="A9" s="45" t="s">
        <v>48</v>
      </c>
      <c r="B9" s="50" t="s">
        <v>179</v>
      </c>
    </row>
    <row r="10" spans="1:2" x14ac:dyDescent="0.3">
      <c r="A10" s="44" t="s">
        <v>49</v>
      </c>
      <c r="B10" s="48" t="s">
        <v>180</v>
      </c>
    </row>
    <row r="11" spans="1:2" x14ac:dyDescent="0.3">
      <c r="A11" s="45" t="s">
        <v>50</v>
      </c>
      <c r="B11" s="49" t="s">
        <v>181</v>
      </c>
    </row>
    <row r="12" spans="1:2" x14ac:dyDescent="0.3">
      <c r="A12" s="44" t="s">
        <v>53</v>
      </c>
      <c r="B12" s="48" t="s">
        <v>182</v>
      </c>
    </row>
    <row r="13" spans="1:2" x14ac:dyDescent="0.3">
      <c r="A13" s="45" t="s">
        <v>56</v>
      </c>
      <c r="B13" s="49" t="s">
        <v>183</v>
      </c>
    </row>
    <row r="14" spans="1:2" x14ac:dyDescent="0.3">
      <c r="A14" s="44" t="s">
        <v>57</v>
      </c>
      <c r="B14" s="48" t="s">
        <v>184</v>
      </c>
    </row>
    <row r="15" spans="1:2" x14ac:dyDescent="0.3">
      <c r="A15" s="45" t="s">
        <v>58</v>
      </c>
      <c r="B15" s="49" t="s">
        <v>185</v>
      </c>
    </row>
    <row r="16" spans="1:2" x14ac:dyDescent="0.3">
      <c r="A16" s="44" t="s">
        <v>61</v>
      </c>
      <c r="B16" s="48" t="s">
        <v>186</v>
      </c>
    </row>
    <row r="17" spans="1:2" x14ac:dyDescent="0.3">
      <c r="A17" s="45" t="s">
        <v>63</v>
      </c>
      <c r="B17" s="49" t="s">
        <v>187</v>
      </c>
    </row>
    <row r="18" spans="1:2" x14ac:dyDescent="0.3">
      <c r="A18" s="44" t="s">
        <v>64</v>
      </c>
      <c r="B18" s="48" t="s">
        <v>188</v>
      </c>
    </row>
    <row r="19" spans="1:2" x14ac:dyDescent="0.3">
      <c r="A19" s="45" t="s">
        <v>67</v>
      </c>
      <c r="B19" s="49" t="s">
        <v>189</v>
      </c>
    </row>
    <row r="20" spans="1:2" x14ac:dyDescent="0.3">
      <c r="A20" s="44" t="s">
        <v>68</v>
      </c>
      <c r="B20" s="48" t="s">
        <v>190</v>
      </c>
    </row>
    <row r="21" spans="1:2" x14ac:dyDescent="0.3">
      <c r="A21" s="45" t="s">
        <v>70</v>
      </c>
      <c r="B21" s="49" t="s">
        <v>191</v>
      </c>
    </row>
    <row r="22" spans="1:2" x14ac:dyDescent="0.3">
      <c r="A22" s="44" t="s">
        <v>71</v>
      </c>
      <c r="B22" s="48" t="s">
        <v>192</v>
      </c>
    </row>
    <row r="23" spans="1:2" x14ac:dyDescent="0.3">
      <c r="A23" s="45" t="s">
        <v>73</v>
      </c>
      <c r="B23" s="49" t="s">
        <v>193</v>
      </c>
    </row>
    <row r="24" spans="1:2" x14ac:dyDescent="0.3">
      <c r="A24" s="44" t="s">
        <v>75</v>
      </c>
      <c r="B24" s="48" t="s">
        <v>194</v>
      </c>
    </row>
    <row r="25" spans="1:2" x14ac:dyDescent="0.3">
      <c r="A25" s="45" t="s">
        <v>78</v>
      </c>
      <c r="B25" s="49" t="s">
        <v>195</v>
      </c>
    </row>
    <row r="26" spans="1:2" x14ac:dyDescent="0.3">
      <c r="A26" s="44" t="s">
        <v>80</v>
      </c>
      <c r="B26" s="48" t="s">
        <v>196</v>
      </c>
    </row>
    <row r="27" spans="1:2" x14ac:dyDescent="0.3">
      <c r="A27" s="45" t="s">
        <v>81</v>
      </c>
      <c r="B27" s="49" t="s">
        <v>197</v>
      </c>
    </row>
    <row r="28" spans="1:2" x14ac:dyDescent="0.3">
      <c r="A28" s="44" t="s">
        <v>82</v>
      </c>
      <c r="B28" s="48" t="s">
        <v>198</v>
      </c>
    </row>
    <row r="29" spans="1:2" x14ac:dyDescent="0.3">
      <c r="A29" s="45" t="s">
        <v>83</v>
      </c>
      <c r="B29" s="49" t="s">
        <v>199</v>
      </c>
    </row>
    <row r="30" spans="1:2" x14ac:dyDescent="0.3">
      <c r="A30" s="44" t="s">
        <v>85</v>
      </c>
      <c r="B30" s="48" t="s">
        <v>200</v>
      </c>
    </row>
    <row r="31" spans="1:2" x14ac:dyDescent="0.3">
      <c r="A31" s="45" t="s">
        <v>87</v>
      </c>
      <c r="B31" s="49" t="s">
        <v>201</v>
      </c>
    </row>
    <row r="32" spans="1:2" x14ac:dyDescent="0.3">
      <c r="A32" s="44" t="s">
        <v>88</v>
      </c>
      <c r="B32" s="48" t="s">
        <v>202</v>
      </c>
    </row>
    <row r="33" spans="1:2" x14ac:dyDescent="0.3">
      <c r="A33" s="45" t="s">
        <v>91</v>
      </c>
      <c r="B33" s="49" t="s">
        <v>203</v>
      </c>
    </row>
    <row r="34" spans="1:2" x14ac:dyDescent="0.3">
      <c r="A34" s="44" t="s">
        <v>92</v>
      </c>
      <c r="B34" s="48" t="s">
        <v>204</v>
      </c>
    </row>
    <row r="35" spans="1:2" x14ac:dyDescent="0.3">
      <c r="A35" s="45" t="s">
        <v>93</v>
      </c>
      <c r="B35" s="49" t="s">
        <v>205</v>
      </c>
    </row>
    <row r="36" spans="1:2" x14ac:dyDescent="0.3">
      <c r="A36" s="44" t="s">
        <v>94</v>
      </c>
      <c r="B36" s="48" t="s">
        <v>206</v>
      </c>
    </row>
    <row r="37" spans="1:2" x14ac:dyDescent="0.3">
      <c r="A37" s="45" t="s">
        <v>95</v>
      </c>
      <c r="B37" s="49" t="s">
        <v>207</v>
      </c>
    </row>
    <row r="38" spans="1:2" x14ac:dyDescent="0.3">
      <c r="A38" s="44" t="s">
        <v>96</v>
      </c>
      <c r="B38" s="48" t="s">
        <v>208</v>
      </c>
    </row>
    <row r="39" spans="1:2" x14ac:dyDescent="0.3">
      <c r="A39" s="45" t="s">
        <v>97</v>
      </c>
      <c r="B39" s="49" t="s">
        <v>209</v>
      </c>
    </row>
    <row r="40" spans="1:2" x14ac:dyDescent="0.3">
      <c r="A40" s="44" t="s">
        <v>98</v>
      </c>
      <c r="B40" s="48" t="s">
        <v>210</v>
      </c>
    </row>
    <row r="41" spans="1:2" x14ac:dyDescent="0.3">
      <c r="A41" s="45" t="s">
        <v>99</v>
      </c>
      <c r="B41" s="49" t="s">
        <v>211</v>
      </c>
    </row>
    <row r="42" spans="1:2" x14ac:dyDescent="0.3">
      <c r="A42" s="44" t="s">
        <v>100</v>
      </c>
      <c r="B42" s="48" t="s">
        <v>212</v>
      </c>
    </row>
    <row r="43" spans="1:2" x14ac:dyDescent="0.3">
      <c r="A43" s="45" t="s">
        <v>101</v>
      </c>
      <c r="B43" s="49" t="s">
        <v>213</v>
      </c>
    </row>
    <row r="44" spans="1:2" x14ac:dyDescent="0.3">
      <c r="A44" s="44" t="s">
        <v>103</v>
      </c>
      <c r="B44" s="48" t="s">
        <v>214</v>
      </c>
    </row>
    <row r="45" spans="1:2" x14ac:dyDescent="0.3">
      <c r="A45" s="45" t="s">
        <v>104</v>
      </c>
      <c r="B45" s="49" t="s">
        <v>215</v>
      </c>
    </row>
    <row r="46" spans="1:2" x14ac:dyDescent="0.3">
      <c r="A46" s="44" t="s">
        <v>105</v>
      </c>
      <c r="B46" s="48" t="s">
        <v>216</v>
      </c>
    </row>
    <row r="47" spans="1:2" x14ac:dyDescent="0.3">
      <c r="A47" s="45" t="s">
        <v>106</v>
      </c>
      <c r="B47" s="49" t="s">
        <v>217</v>
      </c>
    </row>
    <row r="48" spans="1:2" x14ac:dyDescent="0.3">
      <c r="A48" s="44" t="s">
        <v>107</v>
      </c>
      <c r="B48" s="48" t="s">
        <v>218</v>
      </c>
    </row>
    <row r="49" spans="1:2" x14ac:dyDescent="0.3">
      <c r="A49" s="45" t="s">
        <v>108</v>
      </c>
      <c r="B49" s="49" t="s">
        <v>219</v>
      </c>
    </row>
    <row r="50" spans="1:2" x14ac:dyDescent="0.3">
      <c r="A50" s="44" t="s">
        <v>109</v>
      </c>
      <c r="B50" s="48" t="s">
        <v>220</v>
      </c>
    </row>
    <row r="51" spans="1:2" x14ac:dyDescent="0.3">
      <c r="A51" s="45" t="s">
        <v>110</v>
      </c>
      <c r="B51" s="49" t="s">
        <v>221</v>
      </c>
    </row>
    <row r="52" spans="1:2" x14ac:dyDescent="0.3">
      <c r="A52" s="44" t="s">
        <v>111</v>
      </c>
      <c r="B52" s="48" t="s">
        <v>222</v>
      </c>
    </row>
    <row r="53" spans="1:2" x14ac:dyDescent="0.3">
      <c r="A53" s="45" t="s">
        <v>114</v>
      </c>
      <c r="B53" s="49" t="s">
        <v>223</v>
      </c>
    </row>
    <row r="54" spans="1:2" x14ac:dyDescent="0.3">
      <c r="A54" s="44" t="s">
        <v>115</v>
      </c>
      <c r="B54" s="48" t="s">
        <v>224</v>
      </c>
    </row>
    <row r="55" spans="1:2" x14ac:dyDescent="0.3">
      <c r="A55" s="45" t="s">
        <v>116</v>
      </c>
      <c r="B55" s="49" t="s">
        <v>225</v>
      </c>
    </row>
    <row r="56" spans="1:2" x14ac:dyDescent="0.3">
      <c r="A56" s="44" t="s">
        <v>117</v>
      </c>
      <c r="B56" s="48" t="s">
        <v>226</v>
      </c>
    </row>
    <row r="57" spans="1:2" x14ac:dyDescent="0.3">
      <c r="A57" s="45" t="s">
        <v>118</v>
      </c>
      <c r="B57" s="49" t="s">
        <v>227</v>
      </c>
    </row>
    <row r="58" spans="1:2" x14ac:dyDescent="0.3">
      <c r="A58" s="44" t="s">
        <v>119</v>
      </c>
      <c r="B58" s="48" t="s">
        <v>228</v>
      </c>
    </row>
    <row r="59" spans="1:2" x14ac:dyDescent="0.3">
      <c r="A59" s="45" t="s">
        <v>121</v>
      </c>
      <c r="B59" s="49" t="s">
        <v>229</v>
      </c>
    </row>
    <row r="60" spans="1:2" x14ac:dyDescent="0.3">
      <c r="A60" s="44" t="s">
        <v>122</v>
      </c>
      <c r="B60" s="48" t="s">
        <v>230</v>
      </c>
    </row>
    <row r="61" spans="1:2" x14ac:dyDescent="0.3">
      <c r="A61" s="45" t="s">
        <v>123</v>
      </c>
      <c r="B61" s="49" t="s">
        <v>231</v>
      </c>
    </row>
    <row r="62" spans="1:2" x14ac:dyDescent="0.3">
      <c r="A62" s="44" t="s">
        <v>124</v>
      </c>
      <c r="B62" s="48" t="s">
        <v>232</v>
      </c>
    </row>
    <row r="63" spans="1:2" x14ac:dyDescent="0.3">
      <c r="A63" s="45" t="s">
        <v>125</v>
      </c>
      <c r="B63" s="49" t="s">
        <v>233</v>
      </c>
    </row>
    <row r="64" spans="1:2" x14ac:dyDescent="0.3">
      <c r="A64" s="44" t="s">
        <v>127</v>
      </c>
      <c r="B64" s="48" t="s">
        <v>234</v>
      </c>
    </row>
    <row r="65" spans="1:2" x14ac:dyDescent="0.3">
      <c r="A65" s="45" t="s">
        <v>129</v>
      </c>
      <c r="B65" s="49" t="s">
        <v>235</v>
      </c>
    </row>
    <row r="66" spans="1:2" x14ac:dyDescent="0.3">
      <c r="A66" s="44" t="s">
        <v>130</v>
      </c>
      <c r="B66" s="48" t="s">
        <v>236</v>
      </c>
    </row>
    <row r="67" spans="1:2" x14ac:dyDescent="0.3">
      <c r="A67" s="45" t="s">
        <v>132</v>
      </c>
      <c r="B67" s="49" t="s">
        <v>237</v>
      </c>
    </row>
    <row r="68" spans="1:2" x14ac:dyDescent="0.3">
      <c r="A68" s="44" t="s">
        <v>133</v>
      </c>
      <c r="B68" s="48" t="s">
        <v>238</v>
      </c>
    </row>
    <row r="69" spans="1:2" x14ac:dyDescent="0.3">
      <c r="A69" s="45" t="s">
        <v>134</v>
      </c>
      <c r="B69" s="49" t="s">
        <v>239</v>
      </c>
    </row>
    <row r="70" spans="1:2" x14ac:dyDescent="0.3">
      <c r="A70" s="44" t="s">
        <v>135</v>
      </c>
      <c r="B70" s="48" t="s">
        <v>240</v>
      </c>
    </row>
    <row r="71" spans="1:2" x14ac:dyDescent="0.3">
      <c r="A71" s="45" t="s">
        <v>137</v>
      </c>
      <c r="B71" s="49" t="s">
        <v>241</v>
      </c>
    </row>
    <row r="72" spans="1:2" x14ac:dyDescent="0.3">
      <c r="A72" s="44" t="s">
        <v>139</v>
      </c>
      <c r="B72" s="48" t="s">
        <v>242</v>
      </c>
    </row>
    <row r="73" spans="1:2" x14ac:dyDescent="0.3">
      <c r="A73" s="45" t="s">
        <v>140</v>
      </c>
      <c r="B73" s="49" t="s">
        <v>243</v>
      </c>
    </row>
    <row r="74" spans="1:2" x14ac:dyDescent="0.3">
      <c r="A74" s="44" t="s">
        <v>141</v>
      </c>
      <c r="B74" s="48" t="s">
        <v>244</v>
      </c>
    </row>
    <row r="75" spans="1:2" x14ac:dyDescent="0.3">
      <c r="A75" s="45" t="s">
        <v>142</v>
      </c>
      <c r="B75" s="49" t="s">
        <v>245</v>
      </c>
    </row>
    <row r="76" spans="1:2" x14ac:dyDescent="0.3">
      <c r="A76" s="44" t="s">
        <v>144</v>
      </c>
      <c r="B76" s="48" t="s">
        <v>246</v>
      </c>
    </row>
    <row r="77" spans="1:2" x14ac:dyDescent="0.3">
      <c r="A77" s="45" t="s">
        <v>145</v>
      </c>
      <c r="B77" s="49" t="s">
        <v>247</v>
      </c>
    </row>
    <row r="78" spans="1:2" x14ac:dyDescent="0.3">
      <c r="A78" s="44" t="s">
        <v>146</v>
      </c>
      <c r="B78" s="48" t="s">
        <v>248</v>
      </c>
    </row>
    <row r="79" spans="1:2" x14ac:dyDescent="0.3">
      <c r="A79" s="45" t="s">
        <v>148</v>
      </c>
      <c r="B79" s="49" t="s">
        <v>249</v>
      </c>
    </row>
    <row r="80" spans="1:2" x14ac:dyDescent="0.3">
      <c r="A80" s="44" t="s">
        <v>149</v>
      </c>
      <c r="B80" s="48" t="s">
        <v>250</v>
      </c>
    </row>
    <row r="81" spans="1:2" x14ac:dyDescent="0.3">
      <c r="A81" s="45" t="s">
        <v>150</v>
      </c>
      <c r="B81" s="49" t="s">
        <v>251</v>
      </c>
    </row>
    <row r="82" spans="1:2" x14ac:dyDescent="0.3">
      <c r="A82" s="44" t="s">
        <v>151</v>
      </c>
      <c r="B82" s="48" t="s">
        <v>252</v>
      </c>
    </row>
    <row r="83" spans="1:2" x14ac:dyDescent="0.3">
      <c r="A83" s="45" t="s">
        <v>152</v>
      </c>
      <c r="B83" s="49" t="s">
        <v>253</v>
      </c>
    </row>
    <row r="84" spans="1:2" x14ac:dyDescent="0.3">
      <c r="A84" s="44" t="s">
        <v>153</v>
      </c>
      <c r="B84" s="48" t="s">
        <v>254</v>
      </c>
    </row>
    <row r="85" spans="1:2" x14ac:dyDescent="0.3">
      <c r="A85" s="45" t="s">
        <v>154</v>
      </c>
      <c r="B85" s="49" t="s">
        <v>255</v>
      </c>
    </row>
    <row r="86" spans="1:2" x14ac:dyDescent="0.3">
      <c r="A86" s="44" t="s">
        <v>155</v>
      </c>
      <c r="B86" s="48" t="s">
        <v>256</v>
      </c>
    </row>
    <row r="87" spans="1:2" x14ac:dyDescent="0.3">
      <c r="A87" s="45" t="s">
        <v>156</v>
      </c>
      <c r="B87" s="49" t="s">
        <v>257</v>
      </c>
    </row>
    <row r="88" spans="1:2" x14ac:dyDescent="0.3">
      <c r="A88" s="44" t="s">
        <v>157</v>
      </c>
      <c r="B88" s="48" t="s">
        <v>258</v>
      </c>
    </row>
    <row r="89" spans="1:2" x14ac:dyDescent="0.3">
      <c r="A89" s="46" t="s">
        <v>158</v>
      </c>
      <c r="B89" s="51" t="s">
        <v>259</v>
      </c>
    </row>
  </sheetData>
  <phoneticPr fontId="18" type="noConversion"/>
  <conditionalFormatting sqref="A1:A89">
    <cfRule type="containsBlanks" dxfId="2" priority="2">
      <formula>LEN(TRIM(A1))=0</formula>
    </cfRule>
  </conditionalFormatting>
  <conditionalFormatting sqref="A1:A1048576">
    <cfRule type="duplicateValues" dxfId="1" priority="3"/>
  </conditionalFormatting>
  <conditionalFormatting sqref="A8">
    <cfRule type="duplicateValues" dxfId="0" priority="1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C2D58CF8-C648-434F-8568-7C41E97F41D2}">
  <ds:schemaRefs/>
</ds:datastoreItem>
</file>

<file path=customXml/itemProps2.xml><?xml version="1.0" encoding="utf-8"?>
<ds:datastoreItem xmlns:ds="http://schemas.openxmlformats.org/officeDocument/2006/customXml" ds:itemID="{C02E0F52-E7B5-4FB2-A8B5-33587A52ECFD}">
  <ds:schemaRefs/>
</ds:datastoreItem>
</file>

<file path=customXml/itemProps3.xml><?xml version="1.0" encoding="utf-8"?>
<ds:datastoreItem xmlns:ds="http://schemas.openxmlformats.org/officeDocument/2006/customXml" ds:itemID="{5C36C41D-F0D7-4CDD-99D0-D7287B8199EC}">
  <ds:schemaRefs/>
</ds:datastoreItem>
</file>

<file path=customXml/itemProps4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B2171F77-06C9-4B5C-928D-37D197B08D65}">
  <ds:schemaRefs/>
</ds:datastoreItem>
</file>

<file path=customXml/itemProps6.xml><?xml version="1.0" encoding="utf-8"?>
<ds:datastoreItem xmlns:ds="http://schemas.openxmlformats.org/officeDocument/2006/customXml" ds:itemID="{B7D8B2A8-E0E0-48FF-B432-9E4C9DB5C7AA}">
  <ds:schemaRefs/>
</ds:datastoreItem>
</file>

<file path=customXml/itemProps7.xml><?xml version="1.0" encoding="utf-8"?>
<ds:datastoreItem xmlns:ds="http://schemas.openxmlformats.org/officeDocument/2006/customXml" ds:itemID="{749112B5-55AB-439B-9498-711F7CBA08A8}">
  <ds:schemaRefs/>
</ds:datastoreItem>
</file>

<file path=customXml/itemProps8.xml><?xml version="1.0" encoding="utf-8"?>
<ds:datastoreItem xmlns:ds="http://schemas.openxmlformats.org/officeDocument/2006/customXml" ds:itemID="{C2E15213-320B-43A6-8E93-7B4188D72526}">
  <ds:schemaRefs/>
</ds:datastoreItem>
</file>

<file path=customXml/itemProps9.xml><?xml version="1.0" encoding="utf-8"?>
<ds:datastoreItem xmlns:ds="http://schemas.openxmlformats.org/officeDocument/2006/customXml" ds:itemID="{B0E83AF8-2C50-4089-9716-0DC4D6C9EB5B}">
  <ds:schemaRefs>
    <ds:schemaRef ds:uri="ef7ae401-bd17-41a5-97cb-ef653218410e"/>
    <ds:schemaRef ds:uri="http://schemas.microsoft.com/office/2006/metadata/properties"/>
    <ds:schemaRef ds:uri="6cf0ffbd-cd96-4ba4-bd4f-bd34e8409846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10.xml><?xml version="1.0" encoding="utf-8"?>
<ds:datastoreItem xmlns:ds="http://schemas.openxmlformats.org/officeDocument/2006/customXml" ds:itemID="{8E1FA4A3-DEEF-47FE-AD78-C574D899A006}">
  <ds:schemaRefs/>
</ds:datastoreItem>
</file>

<file path=customXml/itemProps11.xml><?xml version="1.0" encoding="utf-8"?>
<ds:datastoreItem xmlns:ds="http://schemas.openxmlformats.org/officeDocument/2006/customXml" ds:itemID="{C4B04310-EC97-46D9-B58B-D110EBB86229}">
  <ds:schemaRefs/>
</ds:datastoreItem>
</file>

<file path=customXml/itemProps12.xml><?xml version="1.0" encoding="utf-8"?>
<ds:datastoreItem xmlns:ds="http://schemas.openxmlformats.org/officeDocument/2006/customXml" ds:itemID="{4FD76472-EC3E-40B0-9D28-D4D7D6A5C75F}">
  <ds:schemaRefs/>
</ds:datastoreItem>
</file>

<file path=customXml/itemProps13.xml><?xml version="1.0" encoding="utf-8"?>
<ds:datastoreItem xmlns:ds="http://schemas.openxmlformats.org/officeDocument/2006/customXml" ds:itemID="{0D7387A1-E1B0-4201-B4D7-EBD1F450A157}">
  <ds:schemaRefs/>
</ds:datastoreItem>
</file>

<file path=customXml/itemProps14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5.xml><?xml version="1.0" encoding="utf-8"?>
<ds:datastoreItem xmlns:ds="http://schemas.openxmlformats.org/officeDocument/2006/customXml" ds:itemID="{05052029-E59A-4140-AD2A-58A046E6EE5C}">
  <ds:schemaRefs/>
</ds:datastoreItem>
</file>

<file path=customXml/itemProps16.xml><?xml version="1.0" encoding="utf-8"?>
<ds:datastoreItem xmlns:ds="http://schemas.openxmlformats.org/officeDocument/2006/customXml" ds:itemID="{B7BEBE96-47FE-4C41-982C-E02B8EBF19F0}">
  <ds:schemaRefs/>
</ds:datastoreItem>
</file>

<file path=customXml/itemProps17.xml><?xml version="1.0" encoding="utf-8"?>
<ds:datastoreItem xmlns:ds="http://schemas.openxmlformats.org/officeDocument/2006/customXml" ds:itemID="{78BE742C-7E37-4EEB-A24D-9C8A843C37CE}">
  <ds:schemaRefs/>
</ds:datastoreItem>
</file>

<file path=customXml/itemProps18.xml><?xml version="1.0" encoding="utf-8"?>
<ds:datastoreItem xmlns:ds="http://schemas.openxmlformats.org/officeDocument/2006/customXml" ds:itemID="{F4BF4226-10EB-41D9-8367-C0B32C28974A}">
  <ds:schemaRefs/>
</ds:datastoreItem>
</file>

<file path=customXml/itemProps19.xml><?xml version="1.0" encoding="utf-8"?>
<ds:datastoreItem xmlns:ds="http://schemas.openxmlformats.org/officeDocument/2006/customXml" ds:itemID="{BBED36B5-7C38-4370-9EB5-6AEE79234067}">
  <ds:schemaRefs/>
</ds:datastoreItem>
</file>

<file path=customXml/itemProps20.xml><?xml version="1.0" encoding="utf-8"?>
<ds:datastoreItem xmlns:ds="http://schemas.openxmlformats.org/officeDocument/2006/customXml" ds:itemID="{A0D35C6A-1B7E-49E6-A42B-24591F93339B}">
  <ds:schemaRefs/>
</ds:datastoreItem>
</file>

<file path=customXml/itemProps21.xml><?xml version="1.0" encoding="utf-8"?>
<ds:datastoreItem xmlns:ds="http://schemas.openxmlformats.org/officeDocument/2006/customXml" ds:itemID="{EE18B7D8-8DA0-43C6-83F5-D5873D118558}">
  <ds:schemaRefs/>
</ds:datastoreItem>
</file>

<file path=customXml/itemProps22.xml><?xml version="1.0" encoding="utf-8"?>
<ds:datastoreItem xmlns:ds="http://schemas.openxmlformats.org/officeDocument/2006/customXml" ds:itemID="{7D42A479-CEBF-48C0-9A2C-929DC8C800BC}">
  <ds:schemaRefs/>
</ds:datastoreItem>
</file>

<file path=customXml/itemProps23.xml><?xml version="1.0" encoding="utf-8"?>
<ds:datastoreItem xmlns:ds="http://schemas.openxmlformats.org/officeDocument/2006/customXml" ds:itemID="{33F8C751-B726-4EEF-AA7E-ED3B49FDFF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Backup Dirty Data</vt:lpstr>
      <vt:lpstr>Fact_Revenue</vt:lpstr>
      <vt:lpstr>Date_Dim</vt:lpstr>
      <vt:lpstr>Customer_Dim</vt:lpstr>
      <vt:lpstr>Product_Dim</vt:lpstr>
      <vt:lpstr>Order_Dim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Ellah Jane Mortel</cp:lastModifiedBy>
  <cp:revision/>
  <dcterms:created xsi:type="dcterms:W3CDTF">2022-11-04T20:14:11Z</dcterms:created>
  <dcterms:modified xsi:type="dcterms:W3CDTF">2026-02-21T00:37:25Z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